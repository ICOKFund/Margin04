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요령" sheetId="1" state="visible" r:id="rId1"/>
    <sheet xmlns:r="http://schemas.openxmlformats.org/officeDocument/2006/relationships" name="1_자동차·부품" sheetId="2" state="visible" r:id="rId2"/>
    <sheet xmlns:r="http://schemas.openxmlformats.org/officeDocument/2006/relationships" name="1_2차전지·소재" sheetId="3" state="visible" r:id="rId3"/>
    <sheet xmlns:r="http://schemas.openxmlformats.org/officeDocument/2006/relationships" name="1_IT하드웨어·부품" sheetId="4" state="visible" r:id="rId4"/>
    <sheet xmlns:r="http://schemas.openxmlformats.org/officeDocument/2006/relationships" name="1_지주 — 테크·전동화" sheetId="5" state="visible" r:id="rId5"/>
    <sheet xmlns:r="http://schemas.openxmlformats.org/officeDocument/2006/relationships" name="1_반도체·소부장" sheetId="6" state="visible" r:id="rId6"/>
    <sheet xmlns:r="http://schemas.openxmlformats.org/officeDocument/2006/relationships" name="1_소프트웨어·인터넷·게임" sheetId="7" state="visible" r:id="rId7"/>
    <sheet xmlns:r="http://schemas.openxmlformats.org/officeDocument/2006/relationships" name="2_전력기기·유틸리티" sheetId="8" state="visible" r:id="rId8"/>
    <sheet xmlns:r="http://schemas.openxmlformats.org/officeDocument/2006/relationships" name="2_조선·기자재" sheetId="9" state="visible" r:id="rId9"/>
    <sheet xmlns:r="http://schemas.openxmlformats.org/officeDocument/2006/relationships" name="2_기계·건설·로봇" sheetId="10" state="visible" r:id="rId10"/>
    <sheet xmlns:r="http://schemas.openxmlformats.org/officeDocument/2006/relationships" name="2_방산·우주" sheetId="11" state="visible" r:id="rId11"/>
    <sheet xmlns:r="http://schemas.openxmlformats.org/officeDocument/2006/relationships" name="2_소재·에너지" sheetId="12" state="visible" r:id="rId12"/>
    <sheet xmlns:r="http://schemas.openxmlformats.org/officeDocument/2006/relationships" name="2_지주 — 산업재·인프라" sheetId="13" state="visible" r:id="rId13"/>
    <sheet xmlns:r="http://schemas.openxmlformats.org/officeDocument/2006/relationships" name="3_헬스케어·바이오" sheetId="14" state="visible" r:id="rId14"/>
    <sheet xmlns:r="http://schemas.openxmlformats.org/officeDocument/2006/relationships" name="3_소비재·유통" sheetId="15" state="visible" r:id="rId15"/>
    <sheet xmlns:r="http://schemas.openxmlformats.org/officeDocument/2006/relationships" name="3_지주 — 내수·소비" sheetId="16" state="visible" r:id="rId16"/>
    <sheet xmlns:r="http://schemas.openxmlformats.org/officeDocument/2006/relationships" name="3_금융 — 은행·지주" sheetId="17" state="visible" r:id="rId17"/>
    <sheet xmlns:r="http://schemas.openxmlformats.org/officeDocument/2006/relationships" name="3_금융 — 보험·증권" sheetId="18" state="visible" r:id="rId18"/>
    <sheet xmlns:r="http://schemas.openxmlformats.org/officeDocument/2006/relationships" name="3_통신·미디어·엔터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1F2A44"/>
      <sz val="15"/>
    </font>
    <font>
      <name val="맑은 고딕"/>
      <color rgb="005A5A5A"/>
      <sz val="9"/>
    </font>
    <font>
      <name val="맑은 고딕"/>
      <sz val="9"/>
    </font>
    <font>
      <name val="맑은 고딕"/>
      <b val="1"/>
      <color rgb="001F2A44"/>
      <sz val="9"/>
    </font>
    <font>
      <name val="맑은 고딕"/>
      <b val="1"/>
      <color rgb="00FFFFFF"/>
      <sz val="9"/>
    </font>
    <font>
      <name val="맑은 고딕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DCE4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C7CE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44546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4546A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medium">
        <color rgb="0044546A"/>
      </bottom>
      <diagonal/>
    </border>
    <border>
      <left/>
      <right style="thin">
        <color rgb="00BFBFBF"/>
      </right>
      <top style="thin">
        <color rgb="00BFBFBF"/>
      </top>
      <bottom style="medium">
        <color rgb="0044546A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8" applyAlignment="1" pivotButton="0" quotePrefix="0" xfId="0">
      <alignment horizontal="center" vertical="center"/>
    </xf>
    <xf numFmtId="0" fontId="3" fillId="0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6" borderId="1" pivotButton="0" quotePrefix="0" xfId="0"/>
    <xf numFmtId="0" fontId="3" fillId="6" borderId="1" applyAlignment="1" pivotButton="0" quotePrefix="0" xfId="0">
      <alignment vertical="top" wrapText="1"/>
    </xf>
    <xf numFmtId="0" fontId="3" fillId="0" borderId="9" pivotButton="0" quotePrefix="0" xfId="0"/>
    <xf numFmtId="0" fontId="3" fillId="5" borderId="9" pivotButton="0" quotePrefix="0" xfId="0"/>
    <xf numFmtId="0" fontId="3" fillId="5" borderId="9" applyAlignment="1" pivotButton="0" quotePrefix="0" xfId="0">
      <alignment horizontal="center" vertical="center"/>
    </xf>
    <xf numFmtId="3" fontId="3" fillId="5" borderId="9" applyAlignment="1" pivotButton="0" quotePrefix="0" xfId="0">
      <alignment horizontal="right" vertical="center"/>
    </xf>
    <xf numFmtId="164" fontId="3" fillId="5" borderId="9" applyAlignment="1" pivotButton="0" quotePrefix="0" xfId="0">
      <alignment horizontal="right" vertical="center"/>
    </xf>
    <xf numFmtId="10" fontId="3" fillId="5" borderId="9" applyAlignment="1" pivotButton="0" quotePrefix="0" xfId="0">
      <alignment horizontal="right" vertical="center"/>
    </xf>
    <xf numFmtId="165" fontId="3" fillId="5" borderId="9" applyAlignment="1" pivotButton="0" quotePrefix="0" xfId="0">
      <alignment horizontal="right" vertical="center"/>
    </xf>
    <xf numFmtId="0" fontId="3" fillId="0" borderId="9" applyAlignment="1" pivotButton="0" quotePrefix="0" xfId="0">
      <alignment vertical="top" wrapText="1"/>
    </xf>
    <xf numFmtId="0" fontId="5" fillId="4" borderId="8" pivotButton="0" quotePrefix="0" xfId="0"/>
    <xf numFmtId="0" fontId="2" fillId="0" borderId="1" applyAlignment="1" pivotButton="0" quotePrefix="0" xfId="0">
      <alignment vertical="top" wrapText="1"/>
    </xf>
    <xf numFmtId="0" fontId="4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3" fillId="6" borderId="9" pivotButton="0" quotePrefix="0" xfId="0"/>
    <xf numFmtId="0" fontId="3" fillId="6" borderId="9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8" customWidth="1" min="3" max="3"/>
  </cols>
  <sheetData>
    <row r="1">
      <c r="B1" s="1" t="inlineStr">
        <is>
          <t>담당 산업 스크리닝 작성요령</t>
        </is>
      </c>
    </row>
    <row r="2">
      <c r="B2" s="2" t="inlineStr">
        <is>
          <t>ICOK Fund 26-2  ·  기준일 2026-09-15 종가</t>
        </is>
      </c>
    </row>
    <row r="3" ht="3" customHeight="1">
      <c r="B3" s="3" t="n"/>
      <c r="C3" s="3" t="n"/>
    </row>
    <row r="5" ht="17" customHeight="1">
      <c r="B5" s="4" t="inlineStr">
        <is>
          <t>과제 개요</t>
        </is>
      </c>
      <c r="C5" s="5" t="inlineStr">
        <is>
          <t>담당 산업의 전 종목을 검토하여 발제 후보 3종목을 선정한다.</t>
        </is>
      </c>
    </row>
    <row r="6" ht="17" customHeight="1">
      <c r="B6" s="6" t="n"/>
      <c r="C6" s="5" t="inlineStr">
        <is>
          <t>선정한 3종목 중 1종목을 10월 13일 세션에서 발제한다.</t>
        </is>
      </c>
    </row>
    <row r="7" ht="17" customHeight="1">
      <c r="B7" s="7" t="n"/>
      <c r="C7" s="5" t="inlineStr">
        <is>
          <t>선정 근거와 함께 탈락 근거를 반드시 기재한다.</t>
        </is>
      </c>
    </row>
    <row r="9" ht="17" customHeight="1">
      <c r="B9" s="4" t="inlineStr">
        <is>
          <t>작성 순서</t>
        </is>
      </c>
      <c r="C9" s="5" t="inlineStr">
        <is>
          <t>1.  하위 테마를 2~4개로 분류한다.   예) 에너지 → 태양광 / 풍력 / 원자력 / ESS</t>
        </is>
      </c>
    </row>
    <row r="10" ht="17" customHeight="1">
      <c r="B10" s="6" t="n"/>
      <c r="C10" s="5" t="inlineStr">
        <is>
          <t>2.  매출 CAGR(3년) · 영업이익률 · ROE · PER(또는 PBR)을 기입한다.</t>
        </is>
      </c>
    </row>
    <row r="11" ht="17" customHeight="1">
      <c r="B11" s="6" t="n"/>
      <c r="C11" s="5" t="inlineStr">
        <is>
          <t>3.  주요 제품과 시장 포지셔닝을 각 한 줄로 기입한다.</t>
        </is>
      </c>
    </row>
    <row r="12" ht="17" customHeight="1">
      <c r="B12" s="6" t="n"/>
      <c r="C12" s="5" t="inlineStr">
        <is>
          <t>4.  판정 칸에 Top1~3 / 보류 / 탈락을 선택한다.</t>
        </is>
      </c>
    </row>
    <row r="13" ht="17" customHeight="1">
      <c r="B13" s="7" t="n"/>
      <c r="C13" s="5" t="inlineStr">
        <is>
          <t>5.  시트 하단 「선정 결과」에 Top 3 근거와 탈락 5종목 사유를 기입한다.</t>
        </is>
      </c>
    </row>
    <row r="15" ht="17" customHeight="1">
      <c r="B15" s="4" t="inlineStr">
        <is>
          <t>기입 완료 항목</t>
        </is>
      </c>
      <c r="C15" s="5" t="inlineStr">
        <is>
          <t>기업명 · 종목코드 · 주가 · 시가총액 · 지수 비중 · 1주가 팀 예산에서 차지하는 비중 · 매수 판정</t>
        </is>
      </c>
    </row>
    <row r="16" ht="17" customHeight="1">
      <c r="B16" s="7" t="n"/>
      <c r="C16" s="5" t="inlineStr">
        <is>
          <t>음영 처리된 셀이며 수정하지 않는다.</t>
        </is>
      </c>
    </row>
    <row r="18" ht="17" customHeight="1">
      <c r="B18" s="4" t="inlineStr">
        <is>
          <t>지수 비중</t>
        </is>
      </c>
      <c r="C18" s="5" t="inlineStr">
        <is>
          <t>KRX 300 비중은 해당 종목의 중립 비중이다.</t>
        </is>
      </c>
    </row>
    <row r="19" ht="17" customHeight="1">
      <c r="B19" s="6" t="n"/>
      <c r="C19" s="5" t="inlineStr">
        <is>
          <t>예)  비중 0.5% 종목을 1.5% 편입 → 액티브 +1.0%p  /  미편입 → 액티브 −0.5%p</t>
        </is>
      </c>
    </row>
    <row r="20" ht="17" customHeight="1">
      <c r="B20" s="7" t="n"/>
      <c r="C20" s="5" t="inlineStr">
        <is>
          <t>지수 미편입 종목은 중립 비중이 0이므로 편입 시 전량 액티브 포지션으로 기록된다.</t>
        </is>
      </c>
    </row>
    <row r="22" ht="17" customHeight="1">
      <c r="B22" s="4" t="inlineStr">
        <is>
          <t>매수 판정</t>
        </is>
      </c>
      <c r="C22" s="5" t="inlineStr">
        <is>
          <t>1주 가격이 높아 최소 매수 단위만으로 한도를 초과하는 종목이 있다. 종목 선정 전에 확인한다.</t>
        </is>
      </c>
    </row>
    <row r="23" ht="17" customHeight="1">
      <c r="B23" s="6" t="n"/>
      <c r="C23" s="5" t="inlineStr">
        <is>
          <t>가능 = 팀 재량  /  IC 2/3 = 펀드 IC 특별의결  /  매수 불가 = 1주도 편입 불가</t>
        </is>
      </c>
    </row>
    <row r="24" ht="17" customHeight="1">
      <c r="B24" s="7" t="n"/>
      <c r="C24" s="5" t="inlineStr">
        <is>
          <t>예)  효성중공업 : 지수 비중 0.47%, 1주 2,689,000원 → 1주 매수 시 한도 초과</t>
        </is>
      </c>
    </row>
    <row r="26" ht="17" customHeight="1">
      <c r="B26" s="4" t="inlineStr">
        <is>
          <t>지주회사</t>
        </is>
      </c>
      <c r="C26" s="5" t="inlineStr">
        <is>
          <t>순수지주(자체 사업 없이 지분만 보유)는 소속 팀 안에서 「지주」로 분리했다.</t>
        </is>
      </c>
    </row>
    <row r="27" ht="17" customHeight="1">
      <c r="B27" s="6" t="n"/>
      <c r="C27" s="5" t="inlineStr">
        <is>
          <t>지주를 편입하면 자회사 지분이 함께 들어온다. 편입 전에 같은 팀이 보유한 자회사와 합산 노출을 확인한다.</t>
        </is>
      </c>
    </row>
    <row r="28" ht="17" customHeight="1">
      <c r="B28" s="6" t="n"/>
      <c r="C28" s="5" t="inlineStr">
        <is>
          <t>예)  두산 ↔ 두산에너빌리티  /  LS ↔ LS ELECTRIC  /  SK스퀘어 ↔ SK하이닉스(룩스루 1.8배)</t>
        </is>
      </c>
    </row>
    <row r="29" ht="17" customHeight="1">
      <c r="B29" s="7" t="n"/>
      <c r="C29" s="5" t="inlineStr">
        <is>
          <t>사업 실질이 주력인 지주(POSCO홀딩스·OCI홀딩스·세아베스틸지주)와 금융지주는 사업 섹터에 남겼다.</t>
        </is>
      </c>
    </row>
    <row r="31" ht="17" customHeight="1">
      <c r="B31" s="4" t="inlineStr">
        <is>
          <t>자료 기준</t>
        </is>
      </c>
      <c r="C31" s="5" t="inlineStr">
        <is>
          <t>모든 수치에 출처와 기준일을 기재한다.</t>
        </is>
      </c>
    </row>
    <row r="32" ht="17" customHeight="1">
      <c r="B32" s="7" t="n"/>
      <c r="C32" s="5" t="inlineStr">
        <is>
          <t>1순위 자료는 DART 사업보고서이며, 증권사 리포트는 참고 자료로만 사용한다.</t>
        </is>
      </c>
    </row>
    <row r="34" ht="17" customHeight="1">
      <c r="B34" s="4" t="inlineStr">
        <is>
          <t>작성 시 유의사항</t>
        </is>
      </c>
      <c r="C34" s="5" t="inlineStr">
        <is>
          <t>증권사 리포트를 논지의 근거로 사용하지 않는다. 목표주가를 인용하지 않는다.</t>
        </is>
      </c>
    </row>
    <row r="35" ht="17" customHeight="1">
      <c r="B35" s="6" t="n"/>
      <c r="C35" s="5" t="inlineStr">
        <is>
          <t>검증 불가능한 표현(유망하다, 성장성이 크다, 저평가되어 있다 등)을 사용하지 않는다.</t>
        </is>
      </c>
    </row>
    <row r="36" ht="17" customHeight="1">
      <c r="B36" s="7" t="n"/>
      <c r="C36" s="5" t="inlineStr">
        <is>
          <t>수치를 개략값(약 ○조 등)으로 기재하지 않는다.</t>
        </is>
      </c>
    </row>
  </sheetData>
  <mergeCells count="8">
    <mergeCell ref="B5:B7"/>
    <mergeCell ref="B9:B13"/>
    <mergeCell ref="B34:B36"/>
    <mergeCell ref="B26:B29"/>
    <mergeCell ref="B22:B24"/>
    <mergeCell ref="B18:B20"/>
    <mergeCell ref="B15:B1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자동차·부품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3.66%</t>
        </is>
      </c>
      <c r="C5" s="9" t="n"/>
      <c r="D5" s="4" t="inlineStr">
        <is>
          <t>배정액</t>
        </is>
      </c>
      <c r="E5" s="8" t="inlineStr">
        <is>
          <t>1,025,388원</t>
        </is>
      </c>
      <c r="F5" s="9" t="n"/>
      <c r="G5" s="4" t="inlineStr">
        <is>
          <t>종목 수</t>
        </is>
      </c>
      <c r="H5" s="8" t="inlineStr">
        <is>
          <t>11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현대차</t>
        </is>
      </c>
      <c r="C10" s="13" t="inlineStr">
        <is>
          <t>005380</t>
        </is>
      </c>
      <c r="D10" s="14" t="n">
        <v>367000</v>
      </c>
      <c r="E10" s="15" t="n">
        <v>75.1461</v>
      </c>
      <c r="F10" s="16" t="n">
        <v>0.01410904011690083</v>
      </c>
      <c r="G10" s="17" t="n">
        <v>0.07718146789734093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기아</t>
        </is>
      </c>
      <c r="C11" s="13" t="inlineStr">
        <is>
          <t>000270</t>
        </is>
      </c>
      <c r="D11" s="14" t="n">
        <v>121800</v>
      </c>
      <c r="E11" s="15" t="n">
        <v>47.552303</v>
      </c>
      <c r="F11" s="16" t="n">
        <v>0.008928172595490967</v>
      </c>
      <c r="G11" s="17" t="n">
        <v>0.0256149939779186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현대모비스</t>
        </is>
      </c>
      <c r="C12" s="13" t="inlineStr">
        <is>
          <t>012330</t>
        </is>
      </c>
      <c r="D12" s="14" t="n">
        <v>394500</v>
      </c>
      <c r="E12" s="15" t="n">
        <v>35.434221</v>
      </c>
      <c r="F12" s="16" t="n">
        <v>0.006652944671781102</v>
      </c>
      <c r="G12" s="17" t="n">
        <v>0.08296482039646047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현대글로비스</t>
        </is>
      </c>
      <c r="C13" s="13" t="inlineStr">
        <is>
          <t>086280</t>
        </is>
      </c>
      <c r="D13" s="14" t="n">
        <v>204500</v>
      </c>
      <c r="E13" s="15" t="n">
        <v>15.3375</v>
      </c>
      <c r="F13" s="16" t="n">
        <v>0.002879689069598642</v>
      </c>
      <c r="G13" s="17" t="n">
        <v>0.04300711222072539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한국타이어앤테크놀로지</t>
        </is>
      </c>
      <c r="C14" s="13" t="inlineStr">
        <is>
          <t>161390</t>
        </is>
      </c>
      <c r="D14" s="14" t="n">
        <v>58600</v>
      </c>
      <c r="E14" s="15" t="n">
        <v>7.259079</v>
      </c>
      <c r="F14" s="16" t="n">
        <v>0.001362926842813564</v>
      </c>
      <c r="G14" s="17" t="n">
        <v>0.01232379841630566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한온시스템</t>
        </is>
      </c>
      <c r="C15" s="13" t="inlineStr">
        <is>
          <t>018880</t>
        </is>
      </c>
      <c r="D15" s="14" t="n">
        <v>3370</v>
      </c>
      <c r="E15" s="15" t="n">
        <v>3.458505</v>
      </c>
      <c r="F15" s="16" t="n">
        <v>0.0006493508750221516</v>
      </c>
      <c r="G15" s="17" t="n">
        <v>0.0007087235608011959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DN오토모티브</t>
        </is>
      </c>
      <c r="C16" s="13" t="inlineStr">
        <is>
          <t>007340</t>
        </is>
      </c>
      <c r="D16" s="14" t="n">
        <v>45600</v>
      </c>
      <c r="E16" s="15" t="n">
        <v>2.668095</v>
      </c>
      <c r="F16" s="16" t="n">
        <v>0.0005009476125933685</v>
      </c>
      <c r="G16" s="17" t="n">
        <v>0.009589849962176419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에스엘</t>
        </is>
      </c>
      <c r="C17" s="13" t="inlineStr">
        <is>
          <t>005850</t>
        </is>
      </c>
      <c r="D17" s="14" t="n">
        <v>50700</v>
      </c>
      <c r="E17" s="15" t="n">
        <v>2.35494</v>
      </c>
      <c r="F17" s="16" t="n">
        <v>0.0004421512617806439</v>
      </c>
      <c r="G17" s="17" t="n">
        <v>0.01066239897110405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HL만도</t>
        </is>
      </c>
      <c r="C18" s="13" t="inlineStr">
        <is>
          <t>204320</t>
        </is>
      </c>
      <c r="D18" s="14" t="n">
        <v>48600</v>
      </c>
      <c r="E18" s="15" t="n">
        <v>2.282116</v>
      </c>
      <c r="F18" s="16" t="n">
        <v>0.0004284782070582673</v>
      </c>
      <c r="G18" s="17" t="n">
        <v>0.01022076114389855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금호타이어</t>
        </is>
      </c>
      <c r="C19" s="13" t="inlineStr">
        <is>
          <t>073240</t>
        </is>
      </c>
      <c r="D19" s="14" t="n">
        <v>7080</v>
      </c>
      <c r="E19" s="15" t="n">
        <v>2.033803</v>
      </c>
      <c r="F19" s="16" t="n">
        <v>0.0003818562522456024</v>
      </c>
      <c r="G19" s="17" t="n">
        <v>0.001488950388864234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20" t="n"/>
      <c r="B20" s="21" t="inlineStr">
        <is>
          <t>현대위아</t>
        </is>
      </c>
      <c r="C20" s="22" t="inlineStr">
        <is>
          <t>011210</t>
        </is>
      </c>
      <c r="D20" s="23" t="n">
        <v>55900</v>
      </c>
      <c r="E20" s="24" t="n">
        <v>1.520205</v>
      </c>
      <c r="F20" s="25" t="n">
        <v>0.0002854257683487664</v>
      </c>
      <c r="G20" s="26" t="n">
        <v>0.01175597835275574</v>
      </c>
      <c r="H20" s="22" t="inlineStr">
        <is>
          <t>가능</t>
        </is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2" ht="22" customHeight="1">
      <c r="A22" s="28" t="inlineStr">
        <is>
          <t>선정 결과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</row>
    <row r="23" ht="19" customHeight="1">
      <c r="A23" s="4" t="inlineStr">
        <is>
          <t>Top 1</t>
        </is>
      </c>
      <c r="B23" s="8" t="n"/>
      <c r="C23" s="29" t="inlineStr">
        <is>
          <t>선정 근거 (컨센서스와의 차이 중심, 2줄)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Top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1</t>
        </is>
      </c>
      <c r="B26" s="8" t="n"/>
      <c r="C26" s="29" t="inlineStr">
        <is>
          <t>탈락 사유 (해당 지표와 수치를 명시)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4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30" t="inlineStr">
        <is>
          <t>탈락 5</t>
        </is>
      </c>
      <c r="B30" s="31" t="n"/>
      <c r="C30" s="27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</row>
  </sheetData>
  <mergeCells count="15">
    <mergeCell ref="C29:Q29"/>
    <mergeCell ref="C30:Q30"/>
    <mergeCell ref="E4:F4"/>
    <mergeCell ref="C25:Q25"/>
    <mergeCell ref="C24:Q24"/>
    <mergeCell ref="B5:C5"/>
    <mergeCell ref="C28:Q28"/>
    <mergeCell ref="C27:Q27"/>
    <mergeCell ref="C26:Q26"/>
    <mergeCell ref="E5:F5"/>
    <mergeCell ref="K5:L5"/>
    <mergeCell ref="H5:I5"/>
    <mergeCell ref="C23:Q23"/>
    <mergeCell ref="H4:I4"/>
    <mergeCell ref="B4:C4"/>
  </mergeCells>
  <dataValidations count="1">
    <dataValidation sqref="Q10:Q20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2차전지·소재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3.42%</t>
        </is>
      </c>
      <c r="C5" s="9" t="n"/>
      <c r="D5" s="4" t="inlineStr">
        <is>
          <t>배정액</t>
        </is>
      </c>
      <c r="E5" s="8" t="inlineStr">
        <is>
          <t>958,862원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LG에너지솔루션</t>
        </is>
      </c>
      <c r="C10" s="13" t="inlineStr">
        <is>
          <t>373220</t>
        </is>
      </c>
      <c r="D10" s="14" t="n">
        <v>365500</v>
      </c>
      <c r="E10" s="15" t="n">
        <v>85.527</v>
      </c>
      <c r="F10" s="16" t="n">
        <v>0.0160581038015037</v>
      </c>
      <c r="G10" s="17" t="n">
        <v>0.07686601230647985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삼성SDI</t>
        </is>
      </c>
      <c r="C11" s="13" t="inlineStr">
        <is>
          <t>006400</t>
        </is>
      </c>
      <c r="D11" s="14" t="n">
        <v>547000</v>
      </c>
      <c r="E11" s="15" t="n">
        <v>44.080285</v>
      </c>
      <c r="F11" s="16" t="n">
        <v>0.008276284590010952</v>
      </c>
      <c r="G11" s="17" t="n">
        <v>0.1150361388006689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포스코퓨처엠</t>
        </is>
      </c>
      <c r="C12" s="13" t="inlineStr">
        <is>
          <t>003670</t>
        </is>
      </c>
      <c r="D12" s="14" t="n">
        <v>189300</v>
      </c>
      <c r="E12" s="15" t="n">
        <v>16.837519</v>
      </c>
      <c r="F12" s="16" t="n">
        <v>0.003161324819785457</v>
      </c>
      <c r="G12" s="17" t="n">
        <v>0.03981049556666658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에코프로</t>
        </is>
      </c>
      <c r="C13" s="13" t="inlineStr">
        <is>
          <t>086520</t>
        </is>
      </c>
      <c r="D13" s="14" t="n">
        <v>84400</v>
      </c>
      <c r="E13" s="15" t="n">
        <v>11.459507</v>
      </c>
      <c r="F13" s="16" t="n">
        <v>0.002151577313831402</v>
      </c>
      <c r="G13" s="17" t="n">
        <v>0.01774963457911601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에코프로비엠</t>
        </is>
      </c>
      <c r="C14" s="13" t="inlineStr">
        <is>
          <t>247540</t>
        </is>
      </c>
      <c r="D14" s="14" t="n">
        <v>107000</v>
      </c>
      <c r="E14" s="15" t="n">
        <v>10.467856</v>
      </c>
      <c r="F14" s="16" t="n">
        <v>0.001965390089997233</v>
      </c>
      <c r="G14" s="17" t="n">
        <v>0.02250249881475607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엘앤에프</t>
        </is>
      </c>
      <c r="C15" s="13" t="inlineStr">
        <is>
          <t>066970</t>
        </is>
      </c>
      <c r="D15" s="14" t="n">
        <v>114700</v>
      </c>
      <c r="E15" s="15" t="n">
        <v>4.666531</v>
      </c>
      <c r="F15" s="16" t="n">
        <v>0.0008761635412318318</v>
      </c>
      <c r="G15" s="17" t="n">
        <v>0.02412183751450955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에코프로머티</t>
        </is>
      </c>
      <c r="C16" s="13" t="inlineStr">
        <is>
          <t>450080</t>
        </is>
      </c>
      <c r="D16" s="14" t="n">
        <v>36000</v>
      </c>
      <c r="E16" s="15" t="n">
        <v>2.549299</v>
      </c>
      <c r="F16" s="16" t="n">
        <v>0.0004786430947311328</v>
      </c>
      <c r="G16" s="17" t="n">
        <v>0.007570934180665595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롯데에너지머티리얼즈</t>
        </is>
      </c>
      <c r="C17" s="13" t="inlineStr">
        <is>
          <t>020150</t>
        </is>
      </c>
      <c r="D17" s="14" t="n">
        <v>40100</v>
      </c>
      <c r="E17" s="15" t="n">
        <v>2.099855</v>
      </c>
      <c r="F17" s="16" t="n">
        <v>0.0003942578315398244</v>
      </c>
      <c r="G17" s="17" t="n">
        <v>0.008433179462352509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코스모신소재</t>
        </is>
      </c>
      <c r="C18" s="13" t="inlineStr">
        <is>
          <t>005070</t>
        </is>
      </c>
      <c r="D18" s="14" t="n">
        <v>41250</v>
      </c>
      <c r="E18" s="15" t="n">
        <v>1.370101</v>
      </c>
      <c r="F18" s="16" t="n">
        <v>0.0002572430235661724</v>
      </c>
      <c r="G18" s="17" t="n">
        <v>0.008675028748679326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대주전자재료</t>
        </is>
      </c>
      <c r="C19" s="13" t="inlineStr">
        <is>
          <t>078600</t>
        </is>
      </c>
      <c r="D19" s="14" t="n">
        <v>86600</v>
      </c>
      <c r="E19" s="15" t="n">
        <v>1.359978</v>
      </c>
      <c r="F19" s="16" t="n">
        <v>0.0002553423818415401</v>
      </c>
      <c r="G19" s="17" t="n">
        <v>0.01821230277904557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LS머트리얼즈</t>
        </is>
      </c>
      <c r="C20" s="13" t="inlineStr">
        <is>
          <t>417200</t>
        </is>
      </c>
      <c r="D20" s="14" t="n">
        <v>12200</v>
      </c>
      <c r="E20" s="15" t="n">
        <v>0.825362</v>
      </c>
      <c r="F20" s="16" t="n">
        <v>0.0001549656677986683</v>
      </c>
      <c r="G20" s="17" t="n">
        <v>0.002565705472336674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피엔티</t>
        </is>
      </c>
      <c r="C21" s="13" t="inlineStr">
        <is>
          <t>137400</t>
        </is>
      </c>
      <c r="D21" s="14" t="n">
        <v>29550</v>
      </c>
      <c r="E21" s="15" t="n">
        <v>0.700061</v>
      </c>
      <c r="F21" s="16" t="n">
        <v>0.0001314398050368245</v>
      </c>
      <c r="G21" s="17" t="n">
        <v>0.006214475139963009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엔켐</t>
        </is>
      </c>
      <c r="C22" s="22" t="inlineStr">
        <is>
          <t>348370</t>
        </is>
      </c>
      <c r="D22" s="23" t="n">
        <v>20500</v>
      </c>
      <c r="E22" s="24" t="n">
        <v>0.449175</v>
      </c>
      <c r="F22" s="25" t="n">
        <v>8.433475715318468e-05</v>
      </c>
      <c r="G22" s="26" t="n">
        <v>0.004311226408434575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IT하드웨어·부품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2.86%</t>
        </is>
      </c>
      <c r="C5" s="9" t="n"/>
      <c r="D5" s="4" t="inlineStr">
        <is>
          <t>배정액</t>
        </is>
      </c>
      <c r="E5" s="8" t="inlineStr">
        <is>
          <t>799,440원</t>
        </is>
      </c>
      <c r="F5" s="9" t="n"/>
      <c r="G5" s="4" t="inlineStr">
        <is>
          <t>종목 수</t>
        </is>
      </c>
      <c r="H5" s="8" t="inlineStr">
        <is>
          <t>6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삼성전기</t>
        </is>
      </c>
      <c r="C10" s="13" t="inlineStr">
        <is>
          <t>009150</t>
        </is>
      </c>
      <c r="D10" s="14" t="n">
        <v>1317000</v>
      </c>
      <c r="E10" s="15" t="n">
        <v>98.37159800000001</v>
      </c>
      <c r="F10" s="16" t="n">
        <v>0.01846973858318185</v>
      </c>
      <c r="G10" s="17" t="n">
        <v>0.2769700087760164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LG전자</t>
        </is>
      </c>
      <c r="C11" s="13" t="inlineStr">
        <is>
          <t>066570</t>
        </is>
      </c>
      <c r="D11" s="14" t="n">
        <v>202000</v>
      </c>
      <c r="E11" s="15" t="n">
        <v>32.902697</v>
      </c>
      <c r="F11" s="16" t="n">
        <v>0.006177638918416693</v>
      </c>
      <c r="G11" s="17" t="n">
        <v>0.04248135290262361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LG이노텍</t>
        </is>
      </c>
      <c r="C12" s="13" t="inlineStr">
        <is>
          <t>011070</t>
        </is>
      </c>
      <c r="D12" s="14" t="n">
        <v>506000</v>
      </c>
      <c r="E12" s="15" t="n">
        <v>11.975556</v>
      </c>
      <c r="F12" s="16" t="n">
        <v>0.002248467984715008</v>
      </c>
      <c r="G12" s="17" t="n">
        <v>0.1064136859837997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LG디스플레이</t>
        </is>
      </c>
      <c r="C13" s="13" t="inlineStr">
        <is>
          <t>034220</t>
        </is>
      </c>
      <c r="D13" s="14" t="n">
        <v>8610</v>
      </c>
      <c r="E13" s="15" t="n">
        <v>4.305</v>
      </c>
      <c r="F13" s="16" t="n">
        <v>0.0008082843647675407</v>
      </c>
      <c r="G13" s="17" t="n">
        <v>0.001810715091542521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서진시스템</t>
        </is>
      </c>
      <c r="C14" s="13" t="inlineStr">
        <is>
          <t>178320</t>
        </is>
      </c>
      <c r="D14" s="14" t="n">
        <v>35600</v>
      </c>
      <c r="E14" s="15" t="n">
        <v>2.268556</v>
      </c>
      <c r="F14" s="16" t="n">
        <v>0.000425932252125341</v>
      </c>
      <c r="G14" s="17" t="n">
        <v>0.00748681268976931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33" t="n"/>
      <c r="B15" s="21" t="inlineStr">
        <is>
          <t>한화비전</t>
        </is>
      </c>
      <c r="C15" s="22" t="inlineStr">
        <is>
          <t>489790</t>
        </is>
      </c>
      <c r="D15" s="23" t="n">
        <v>44450</v>
      </c>
      <c r="E15" s="24" t="n">
        <v>2.244209</v>
      </c>
      <c r="F15" s="25" t="n">
        <v>0.000421360986288176</v>
      </c>
      <c r="G15" s="26" t="n">
        <v>0.009348000675849602</v>
      </c>
      <c r="H15" s="22" t="inlineStr">
        <is>
          <t>가능</t>
        </is>
      </c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</row>
    <row r="17" ht="22" customHeight="1">
      <c r="A17" s="28" t="inlineStr">
        <is>
          <t>선정 결과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9" customHeight="1">
      <c r="A18" s="4" t="inlineStr">
        <is>
          <t>Top 1</t>
        </is>
      </c>
      <c r="B18" s="8" t="n"/>
      <c r="C18" s="29" t="inlineStr">
        <is>
          <t>선정 근거 (컨센서스와의 차이 중심, 2줄)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9" customHeight="1">
      <c r="A19" s="4" t="inlineStr">
        <is>
          <t>Top 2</t>
        </is>
      </c>
      <c r="B19" s="8" t="n"/>
      <c r="C19" s="5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9" customHeight="1">
      <c r="A20" s="4" t="inlineStr">
        <is>
          <t>Top 3</t>
        </is>
      </c>
      <c r="B20" s="8" t="n"/>
      <c r="C20" s="5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탈락 1</t>
        </is>
      </c>
      <c r="B21" s="8" t="n"/>
      <c r="C21" s="29" t="inlineStr">
        <is>
          <t>탈락 사유 (해당 지표와 수치를 명시)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탈락 2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3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4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30" t="inlineStr">
        <is>
          <t>탈락 5</t>
        </is>
      </c>
      <c r="B25" s="31" t="n"/>
      <c r="C25" s="27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</row>
  </sheetData>
  <mergeCells count="15">
    <mergeCell ref="C21:Q21"/>
    <mergeCell ref="E4:F4"/>
    <mergeCell ref="C20:Q20"/>
    <mergeCell ref="C25:Q25"/>
    <mergeCell ref="C24:Q24"/>
    <mergeCell ref="B5:C5"/>
    <mergeCell ref="C19:Q19"/>
    <mergeCell ref="E5:F5"/>
    <mergeCell ref="K5:L5"/>
    <mergeCell ref="H5:I5"/>
    <mergeCell ref="C23:Q23"/>
    <mergeCell ref="H4:I4"/>
    <mergeCell ref="C22:Q22"/>
    <mergeCell ref="C18:Q18"/>
    <mergeCell ref="B4:C4"/>
  </mergeCells>
  <dataValidations count="1">
    <dataValidation sqref="Q10:Q15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테크·전동화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2.64%</t>
        </is>
      </c>
      <c r="C5" s="9" t="n"/>
      <c r="D5" s="4" t="inlineStr">
        <is>
          <t>배정액</t>
        </is>
      </c>
      <c r="E5" s="8" t="inlineStr">
        <is>
          <t>739,200원</t>
        </is>
      </c>
      <c r="F5" s="9" t="n"/>
      <c r="G5" s="4" t="inlineStr">
        <is>
          <t>종목 수</t>
        </is>
      </c>
      <c r="H5" s="8" t="inlineStr">
        <is>
          <t>5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순수지주만 모았다. 주가 동인은 NAV 할인율·지배구조·주주환원이며 사업회사와 분석 틀이 다르다. SK스퀘어는 SK하이닉스 지분 룩스루 배수가 1.8배이므로 편입 시 펀드 전체의 SK하이닉스 노출을 함께 계산한다.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SK스퀘어</t>
        </is>
      </c>
      <c r="C11" s="13" t="inlineStr">
        <is>
          <t>402340</t>
        </is>
      </c>
      <c r="D11" s="14" t="n">
        <v>1000000</v>
      </c>
      <c r="E11" s="15" t="n">
        <v>131.923998</v>
      </c>
      <c r="F11" s="16" t="n">
        <v>0.02476936235099287</v>
      </c>
      <c r="G11" s="17" t="n">
        <v>0.210303727240711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피에스케이홀딩스</t>
        </is>
      </c>
      <c r="C12" s="13" t="inlineStr">
        <is>
          <t>031980</t>
        </is>
      </c>
      <c r="D12" s="14" t="n">
        <v>166900</v>
      </c>
      <c r="E12" s="15" t="n">
        <v>3.598764</v>
      </c>
      <c r="F12" s="16" t="n">
        <v>0.0006756851739113342</v>
      </c>
      <c r="G12" s="17" t="n">
        <v>0.03509969207647466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한국앤컴퍼니</t>
        </is>
      </c>
      <c r="C13" s="13" t="inlineStr">
        <is>
          <t>000240</t>
        </is>
      </c>
      <c r="D13" s="14" t="n">
        <v>24200</v>
      </c>
      <c r="E13" s="15" t="n">
        <v>2.297433</v>
      </c>
      <c r="F13" s="16" t="n">
        <v>0.0004313540471547004</v>
      </c>
      <c r="G13" s="17" t="n">
        <v>0.005089350199225205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원익홀딩스</t>
        </is>
      </c>
      <c r="C14" s="13" t="inlineStr">
        <is>
          <t>030530</t>
        </is>
      </c>
      <c r="D14" s="14" t="n">
        <v>25050</v>
      </c>
      <c r="E14" s="15" t="n">
        <v>1.934811</v>
      </c>
      <c r="F14" s="16" t="n">
        <v>0.0003632700302160859</v>
      </c>
      <c r="G14" s="17" t="n">
        <v>0.005268108367379809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20" t="n"/>
      <c r="B15" s="21" t="inlineStr">
        <is>
          <t>솔브레인홀딩스</t>
        </is>
      </c>
      <c r="C15" s="22" t="inlineStr">
        <is>
          <t>036830</t>
        </is>
      </c>
      <c r="D15" s="23" t="n">
        <v>41650</v>
      </c>
      <c r="E15" s="24" t="n">
        <v>0.8539909999999999</v>
      </c>
      <c r="F15" s="25" t="n">
        <v>0.0001603408996404638</v>
      </c>
      <c r="G15" s="26" t="n">
        <v>0.008759150239575611</v>
      </c>
      <c r="H15" s="22" t="inlineStr">
        <is>
          <t>가능</t>
        </is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7" ht="22" customHeight="1">
      <c r="A17" s="28" t="inlineStr">
        <is>
          <t>선정 결과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9" customHeight="1">
      <c r="A18" s="4" t="inlineStr">
        <is>
          <t>Top 1</t>
        </is>
      </c>
      <c r="B18" s="8" t="n"/>
      <c r="C18" s="29" t="inlineStr">
        <is>
          <t>선정 근거 (컨센서스와의 차이 중심, 2줄)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9" customHeight="1">
      <c r="A19" s="4" t="inlineStr">
        <is>
          <t>Top 2</t>
        </is>
      </c>
      <c r="B19" s="8" t="n"/>
      <c r="C19" s="5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9" customHeight="1">
      <c r="A20" s="4" t="inlineStr">
        <is>
          <t>Top 3</t>
        </is>
      </c>
      <c r="B20" s="8" t="n"/>
      <c r="C20" s="5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탈락 1</t>
        </is>
      </c>
      <c r="B21" s="8" t="n"/>
      <c r="C21" s="29" t="inlineStr">
        <is>
          <t>탈락 사유 (해당 지표와 수치를 명시)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탈락 2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3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4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30" t="inlineStr">
        <is>
          <t>탈락 5</t>
        </is>
      </c>
      <c r="B25" s="31" t="n"/>
      <c r="C25" s="27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</row>
  </sheetData>
  <mergeCells count="16">
    <mergeCell ref="C21:Q21"/>
    <mergeCell ref="E4:F4"/>
    <mergeCell ref="C20:Q20"/>
    <mergeCell ref="C25:Q25"/>
    <mergeCell ref="C24:Q24"/>
    <mergeCell ref="B5:C5"/>
    <mergeCell ref="A7:Q7"/>
    <mergeCell ref="C19:Q19"/>
    <mergeCell ref="E5:F5"/>
    <mergeCell ref="K5:L5"/>
    <mergeCell ref="H5:I5"/>
    <mergeCell ref="C23:Q23"/>
    <mergeCell ref="H4:I4"/>
    <mergeCell ref="C22:Q22"/>
    <mergeCell ref="C18:Q18"/>
    <mergeCell ref="B4:C4"/>
  </mergeCells>
  <dataValidations count="1">
    <dataValidation sqref="Q11:Q15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반도체·소부장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2.27%</t>
        </is>
      </c>
      <c r="C5" s="9" t="n"/>
      <c r="D5" s="4" t="inlineStr">
        <is>
          <t>배정액</t>
        </is>
      </c>
      <c r="E5" s="8" t="inlineStr">
        <is>
          <t>635,841원</t>
        </is>
      </c>
      <c r="F5" s="9" t="n"/>
      <c r="G5" s="4" t="inlineStr">
        <is>
          <t>종목 수</t>
        </is>
      </c>
      <c r="H5" s="8" t="inlineStr">
        <is>
          <t>38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38종목. 전공정(장비·소재) / 후공정(기판·테스트·패키징)으로 분할하여 2인이 분담할 것을 권장한다.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한미반도체</t>
        </is>
      </c>
      <c r="C11" s="13" t="inlineStr">
        <is>
          <t>042700</t>
        </is>
      </c>
      <c r="D11" s="14" t="n">
        <v>222500</v>
      </c>
      <c r="E11" s="15" t="n">
        <v>21.206965</v>
      </c>
      <c r="F11" s="16" t="n">
        <v>0.003981709229656787</v>
      </c>
      <c r="G11" s="17" t="n">
        <v>0.04679257931105819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주성엔지니어링</t>
        </is>
      </c>
      <c r="C12" s="13" t="inlineStr">
        <is>
          <t>036930</t>
        </is>
      </c>
      <c r="D12" s="14" t="n">
        <v>192800</v>
      </c>
      <c r="E12" s="15" t="n">
        <v>8.96156</v>
      </c>
      <c r="F12" s="16" t="n">
        <v>0.001682575803002602</v>
      </c>
      <c r="G12" s="17" t="n">
        <v>0.04054655861200907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이수페타시스</t>
        </is>
      </c>
      <c r="C13" s="13" t="inlineStr">
        <is>
          <t>007660</t>
        </is>
      </c>
      <c r="D13" s="14" t="n">
        <v>104600</v>
      </c>
      <c r="E13" s="15" t="n">
        <v>7.678604</v>
      </c>
      <c r="F13" s="16" t="n">
        <v>0.00144169467048583</v>
      </c>
      <c r="G13" s="17" t="n">
        <v>0.02199776986937837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이오테크닉스</t>
        </is>
      </c>
      <c r="C14" s="13" t="inlineStr">
        <is>
          <t>039030</t>
        </is>
      </c>
      <c r="D14" s="14" t="n">
        <v>446500</v>
      </c>
      <c r="E14" s="15" t="n">
        <v>5.500679</v>
      </c>
      <c r="F14" s="16" t="n">
        <v>0.001032778822602822</v>
      </c>
      <c r="G14" s="17" t="n">
        <v>0.09390061421297745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원익IPS</t>
        </is>
      </c>
      <c r="C15" s="13" t="inlineStr">
        <is>
          <t>240810</t>
        </is>
      </c>
      <c r="D15" s="14" t="n">
        <v>108400</v>
      </c>
      <c r="E15" s="15" t="n">
        <v>5.320695</v>
      </c>
      <c r="F15" s="16" t="n">
        <v>0.0009989859647379395</v>
      </c>
      <c r="G15" s="17" t="n">
        <v>0.02279692403289307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DB하이텍</t>
        </is>
      </c>
      <c r="C16" s="13" t="inlineStr">
        <is>
          <t>000990</t>
        </is>
      </c>
      <c r="D16" s="14" t="n">
        <v>116700</v>
      </c>
      <c r="E16" s="15" t="n">
        <v>5.076985</v>
      </c>
      <c r="F16" s="16" t="n">
        <v>0.0009532282452170343</v>
      </c>
      <c r="G16" s="17" t="n">
        <v>0.02454244496899097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리노공업</t>
        </is>
      </c>
      <c r="C17" s="13" t="inlineStr">
        <is>
          <t>058470</t>
        </is>
      </c>
      <c r="D17" s="14" t="n">
        <v>64300</v>
      </c>
      <c r="E17" s="15" t="n">
        <v>4.900422</v>
      </c>
      <c r="F17" s="16" t="n">
        <v>0.0009200776964838283</v>
      </c>
      <c r="G17" s="17" t="n">
        <v>0.01352252966157771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대덕전자</t>
        </is>
      </c>
      <c r="C18" s="13" t="inlineStr">
        <is>
          <t>353200</t>
        </is>
      </c>
      <c r="D18" s="14" t="n">
        <v>96700</v>
      </c>
      <c r="E18" s="15" t="n">
        <v>4.778617</v>
      </c>
      <c r="F18" s="16" t="n">
        <v>0.0008972082244628038</v>
      </c>
      <c r="G18" s="17" t="n">
        <v>0.02033637042417675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심텍</t>
        </is>
      </c>
      <c r="C19" s="13" t="inlineStr">
        <is>
          <t>222800</t>
        </is>
      </c>
      <c r="D19" s="14" t="n">
        <v>125500</v>
      </c>
      <c r="E19" s="15" t="n">
        <v>4.765766</v>
      </c>
      <c r="F19" s="16" t="n">
        <v>0.0008947953876749694</v>
      </c>
      <c r="G19" s="17" t="n">
        <v>0.02639311776870923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HPSP</t>
        </is>
      </c>
      <c r="C20" s="13" t="inlineStr">
        <is>
          <t>403870</t>
        </is>
      </c>
      <c r="D20" s="14" t="n">
        <v>51900</v>
      </c>
      <c r="E20" s="15" t="n">
        <v>4.27137</v>
      </c>
      <c r="F20" s="16" t="n">
        <v>0.0008019701712281371</v>
      </c>
      <c r="G20" s="17" t="n">
        <v>0.0109147634437929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ISC</t>
        </is>
      </c>
      <c r="C21" s="13" t="inlineStr">
        <is>
          <t>095340</t>
        </is>
      </c>
      <c r="D21" s="14" t="n">
        <v>181600</v>
      </c>
      <c r="E21" s="15" t="n">
        <v>3.849386</v>
      </c>
      <c r="F21" s="16" t="n">
        <v>0.0007227406545307931</v>
      </c>
      <c r="G21" s="17" t="n">
        <v>0.03819115686691311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피에스케이</t>
        </is>
      </c>
      <c r="C22" s="13" t="inlineStr">
        <is>
          <t>319660</t>
        </is>
      </c>
      <c r="D22" s="14" t="n">
        <v>118300</v>
      </c>
      <c r="E22" s="15" t="n">
        <v>3.426762</v>
      </c>
      <c r="F22" s="16" t="n">
        <v>0.0006433909747687682</v>
      </c>
      <c r="G22" s="17" t="n">
        <v>0.02487893093257611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유진테크</t>
        </is>
      </c>
      <c r="C23" s="13" t="inlineStr">
        <is>
          <t>084370</t>
        </is>
      </c>
      <c r="D23" s="14" t="n">
        <v>128900</v>
      </c>
      <c r="E23" s="15" t="n">
        <v>2.953878</v>
      </c>
      <c r="F23" s="16" t="n">
        <v>0.0005546047393335222</v>
      </c>
      <c r="G23" s="17" t="n">
        <v>0.02710815044132764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티씨케이</t>
        </is>
      </c>
      <c r="C24" s="13" t="inlineStr">
        <is>
          <t>064760</t>
        </is>
      </c>
      <c r="D24" s="14" t="n">
        <v>259500</v>
      </c>
      <c r="E24" s="15" t="n">
        <v>2.901058</v>
      </c>
      <c r="F24" s="16" t="n">
        <v>0.0005446875314015777</v>
      </c>
      <c r="G24" s="17" t="n">
        <v>0.0545738172189645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솔브레인</t>
        </is>
      </c>
      <c r="C25" s="13" t="inlineStr">
        <is>
          <t>357780</t>
        </is>
      </c>
      <c r="D25" s="14" t="n">
        <v>325000</v>
      </c>
      <c r="E25" s="15" t="n">
        <v>2.528034</v>
      </c>
      <c r="F25" s="16" t="n">
        <v>0.0004746504891523217</v>
      </c>
      <c r="G25" s="17" t="n">
        <v>0.06834871135323106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테스</t>
        </is>
      </c>
      <c r="C26" s="13" t="inlineStr">
        <is>
          <t>095610</t>
        </is>
      </c>
      <c r="D26" s="14" t="n">
        <v>129700</v>
      </c>
      <c r="E26" s="15" t="n">
        <v>2.510992</v>
      </c>
      <c r="F26" s="16" t="n">
        <v>0.0004714507720456159</v>
      </c>
      <c r="G26" s="17" t="n">
        <v>0.02727639342312021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제주반도체</t>
        </is>
      </c>
      <c r="C27" s="13" t="inlineStr">
        <is>
          <t>080220</t>
        </is>
      </c>
      <c r="D27" s="14" t="n">
        <v>68800</v>
      </c>
      <c r="E27" s="15" t="n">
        <v>2.369667</v>
      </c>
      <c r="F27" s="16" t="n">
        <v>0.0004449163265518243</v>
      </c>
      <c r="G27" s="17" t="n">
        <v>0.01446889643416091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하나마이크론</t>
        </is>
      </c>
      <c r="C28" s="13" t="inlineStr">
        <is>
          <t>067310</t>
        </is>
      </c>
      <c r="D28" s="14" t="n">
        <v>33550</v>
      </c>
      <c r="E28" s="15" t="n">
        <v>2.230769</v>
      </c>
      <c r="F28" s="16" t="n">
        <v>0.0004188375619298773</v>
      </c>
      <c r="G28" s="17" t="n">
        <v>0.007055690048925853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한솔케미칼</t>
        </is>
      </c>
      <c r="C29" s="13" t="inlineStr">
        <is>
          <t>014680</t>
        </is>
      </c>
      <c r="D29" s="14" t="n">
        <v>203000</v>
      </c>
      <c r="E29" s="15" t="n">
        <v>2.191189</v>
      </c>
      <c r="F29" s="16" t="n">
        <v>0.0004114062273985186</v>
      </c>
      <c r="G29" s="17" t="n">
        <v>0.04269165662986432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동진쎄미켐</t>
        </is>
      </c>
      <c r="C30" s="13" t="inlineStr">
        <is>
          <t>005290</t>
        </is>
      </c>
      <c r="D30" s="14" t="n">
        <v>39700</v>
      </c>
      <c r="E30" s="15" t="n">
        <v>2.023514</v>
      </c>
      <c r="F30" s="16" t="n">
        <v>0.0003799244432260686</v>
      </c>
      <c r="G30" s="17" t="n">
        <v>0.008349057971456224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고영</t>
        </is>
      </c>
      <c r="C31" s="13" t="inlineStr">
        <is>
          <t>098460</t>
        </is>
      </c>
      <c r="D31" s="14" t="n">
        <v>27500</v>
      </c>
      <c r="E31" s="15" t="n">
        <v>1.875616</v>
      </c>
      <c r="F31" s="16" t="n">
        <v>0.0003521558855070466</v>
      </c>
      <c r="G31" s="17" t="n">
        <v>0.005783352499119552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파크시스템스</t>
        </is>
      </c>
      <c r="C32" s="13" t="inlineStr">
        <is>
          <t>140860</t>
        </is>
      </c>
      <c r="D32" s="14" t="n">
        <v>254500</v>
      </c>
      <c r="E32" s="15" t="n">
        <v>1.782128</v>
      </c>
      <c r="F32" s="16" t="n">
        <v>0.0003346030658337858</v>
      </c>
      <c r="G32" s="17" t="n">
        <v>0.05352229858276094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테크윙</t>
        </is>
      </c>
      <c r="C33" s="13" t="inlineStr">
        <is>
          <t>089030</t>
        </is>
      </c>
      <c r="D33" s="14" t="n">
        <v>44100</v>
      </c>
      <c r="E33" s="15" t="n">
        <v>1.634066</v>
      </c>
      <c r="F33" s="16" t="n">
        <v>0.0003068037163294393</v>
      </c>
      <c r="G33" s="17" t="n">
        <v>0.009274394371315354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두산테스나</t>
        </is>
      </c>
      <c r="C34" s="13" t="inlineStr">
        <is>
          <t>131970</t>
        </is>
      </c>
      <c r="D34" s="14" t="n">
        <v>74400</v>
      </c>
      <c r="E34" s="15" t="n">
        <v>1.437947</v>
      </c>
      <c r="F34" s="16" t="n">
        <v>0.000269981434951078</v>
      </c>
      <c r="G34" s="17" t="n">
        <v>0.0156465973067089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SFA반도체</t>
        </is>
      </c>
      <c r="C35" s="13" t="inlineStr">
        <is>
          <t>036540</t>
        </is>
      </c>
      <c r="D35" s="14" t="n">
        <v>8600</v>
      </c>
      <c r="E35" s="15" t="n">
        <v>1.414359</v>
      </c>
      <c r="F35" s="16" t="n">
        <v>0.000265552674998433</v>
      </c>
      <c r="G35" s="17" t="n">
        <v>0.001808612054270114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태성</t>
        </is>
      </c>
      <c r="C36" s="13" t="inlineStr">
        <is>
          <t>323280</t>
        </is>
      </c>
      <c r="D36" s="14" t="n">
        <v>44400</v>
      </c>
      <c r="E36" s="15" t="n">
        <v>1.355886</v>
      </c>
      <c r="F36" s="16" t="n">
        <v>0.0002545740892467367</v>
      </c>
      <c r="G36" s="17" t="n">
        <v>0.009337485489487566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1" t="n"/>
      <c r="B37" s="12" t="inlineStr">
        <is>
          <t>코미코</t>
        </is>
      </c>
      <c r="C37" s="13" t="inlineStr">
        <is>
          <t>183300</t>
        </is>
      </c>
      <c r="D37" s="14" t="n">
        <v>25950</v>
      </c>
      <c r="E37" s="15" t="n">
        <v>1.332877</v>
      </c>
      <c r="F37" s="16" t="n">
        <v>0.0002502540393166702</v>
      </c>
      <c r="G37" s="17" t="n">
        <v>0.00545738172189645</v>
      </c>
      <c r="H37" s="13" t="inlineStr">
        <is>
          <t>가능</t>
        </is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18" t="n"/>
      <c r="B38" s="12" t="inlineStr">
        <is>
          <t>RFHIC</t>
        </is>
      </c>
      <c r="C38" s="13" t="inlineStr">
        <is>
          <t>218410</t>
        </is>
      </c>
      <c r="D38" s="14" t="n">
        <v>49350</v>
      </c>
      <c r="E38" s="15" t="n">
        <v>1.311498</v>
      </c>
      <c r="F38" s="16" t="n">
        <v>0.0002462400296919628</v>
      </c>
      <c r="G38" s="17" t="n">
        <v>0.01037848893932909</v>
      </c>
      <c r="H38" s="13" t="inlineStr">
        <is>
          <t>가능</t>
        </is>
      </c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1" t="n"/>
      <c r="B39" s="12" t="inlineStr">
        <is>
          <t>성호전자</t>
        </is>
      </c>
      <c r="C39" s="13" t="inlineStr">
        <is>
          <t>043260</t>
        </is>
      </c>
      <c r="D39" s="14" t="n">
        <v>16810</v>
      </c>
      <c r="E39" s="15" t="n">
        <v>1.234418</v>
      </c>
      <c r="F39" s="16" t="n">
        <v>0.0002317678905894583</v>
      </c>
      <c r="G39" s="17" t="n">
        <v>0.003535205654916351</v>
      </c>
      <c r="H39" s="13" t="inlineStr">
        <is>
          <t>가능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18" t="n"/>
      <c r="B40" s="12" t="inlineStr">
        <is>
          <t>코리아써키트</t>
        </is>
      </c>
      <c r="C40" s="13" t="inlineStr">
        <is>
          <t>007810</t>
        </is>
      </c>
      <c r="D40" s="14" t="n">
        <v>49500</v>
      </c>
      <c r="E40" s="15" t="n">
        <v>1.18714</v>
      </c>
      <c r="F40" s="16" t="n">
        <v>0.0002228912196957348</v>
      </c>
      <c r="G40" s="17" t="n">
        <v>0.01041003449841519</v>
      </c>
      <c r="H40" s="13" t="inlineStr">
        <is>
          <t>가능</t>
        </is>
      </c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1" t="n"/>
      <c r="B41" s="12" t="inlineStr">
        <is>
          <t>하나머티리얼즈</t>
        </is>
      </c>
      <c r="C41" s="13" t="inlineStr">
        <is>
          <t>166090</t>
        </is>
      </c>
      <c r="D41" s="14" t="n">
        <v>52500</v>
      </c>
      <c r="E41" s="15" t="n">
        <v>1.038328</v>
      </c>
      <c r="F41" s="16" t="n">
        <v>0.0001949510540999654</v>
      </c>
      <c r="G41" s="17" t="n">
        <v>0.01104094568013732</v>
      </c>
      <c r="H41" s="13" t="inlineStr">
        <is>
          <t>가능</t>
        </is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18" t="n"/>
      <c r="B42" s="12" t="inlineStr">
        <is>
          <t>스피어</t>
        </is>
      </c>
      <c r="C42" s="13" t="inlineStr">
        <is>
          <t>347700</t>
        </is>
      </c>
      <c r="D42" s="14" t="n">
        <v>20000</v>
      </c>
      <c r="E42" s="15" t="n">
        <v>1.031027</v>
      </c>
      <c r="F42" s="16" t="n">
        <v>0.0001935802563886604</v>
      </c>
      <c r="G42" s="17" t="n">
        <v>0.00420607454481422</v>
      </c>
      <c r="H42" s="13" t="inlineStr">
        <is>
          <t>가능</t>
        </is>
      </c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1" t="n"/>
      <c r="B43" s="12" t="inlineStr">
        <is>
          <t>와이씨</t>
        </is>
      </c>
      <c r="C43" s="13" t="inlineStr">
        <is>
          <t>232140</t>
        </is>
      </c>
      <c r="D43" s="14" t="n">
        <v>11680</v>
      </c>
      <c r="E43" s="15" t="n">
        <v>0.95829</v>
      </c>
      <c r="F43" s="16" t="n">
        <v>0.0001799235363328888</v>
      </c>
      <c r="G43" s="17" t="n">
        <v>0.002456347534171504</v>
      </c>
      <c r="H43" s="13" t="inlineStr">
        <is>
          <t>가능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18" t="n"/>
      <c r="B44" s="12" t="inlineStr">
        <is>
          <t>신성델타테크</t>
        </is>
      </c>
      <c r="C44" s="13" t="inlineStr">
        <is>
          <t>065350</t>
        </is>
      </c>
      <c r="D44" s="14" t="n">
        <v>31200</v>
      </c>
      <c r="E44" s="15" t="n">
        <v>0.857499</v>
      </c>
      <c r="F44" s="16" t="n">
        <v>0.000160999543438746</v>
      </c>
      <c r="G44" s="17" t="n">
        <v>0.006561476289910182</v>
      </c>
      <c r="H44" s="13" t="inlineStr">
        <is>
          <t>가능</t>
        </is>
      </c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1" t="n"/>
      <c r="B45" s="12" t="inlineStr">
        <is>
          <t>에스앤에스텍</t>
        </is>
      </c>
      <c r="C45" s="13" t="inlineStr">
        <is>
          <t>101490</t>
        </is>
      </c>
      <c r="D45" s="14" t="n">
        <v>39600</v>
      </c>
      <c r="E45" s="15" t="n">
        <v>0.844861</v>
      </c>
      <c r="F45" s="16" t="n">
        <v>0.0001586266984208755</v>
      </c>
      <c r="G45" s="17" t="n">
        <v>0.008328027598732154</v>
      </c>
      <c r="H45" s="13" t="inlineStr">
        <is>
          <t>가능</t>
        </is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18" t="n"/>
      <c r="B46" s="12" t="inlineStr">
        <is>
          <t>덕산네오룩스</t>
        </is>
      </c>
      <c r="C46" s="13" t="inlineStr">
        <is>
          <t>213420</t>
        </is>
      </c>
      <c r="D46" s="14" t="n">
        <v>30750</v>
      </c>
      <c r="E46" s="15" t="n">
        <v>0.763559</v>
      </c>
      <c r="F46" s="16" t="n">
        <v>0.0001433618586010542</v>
      </c>
      <c r="G46" s="17" t="n">
        <v>0.006466839612651862</v>
      </c>
      <c r="H46" s="13" t="inlineStr">
        <is>
          <t>가능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1" t="n"/>
      <c r="B47" s="12" t="inlineStr">
        <is>
          <t>필옵틱스</t>
        </is>
      </c>
      <c r="C47" s="13" t="inlineStr">
        <is>
          <t>161580</t>
        </is>
      </c>
      <c r="D47" s="14" t="n">
        <v>31000</v>
      </c>
      <c r="E47" s="15" t="n">
        <v>0.72671</v>
      </c>
      <c r="F47" s="16" t="n">
        <v>0.0001364432823972635</v>
      </c>
      <c r="G47" s="17" t="n">
        <v>0.006519415544462039</v>
      </c>
      <c r="H47" s="13" t="inlineStr">
        <is>
          <t>가능</t>
        </is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33" t="n"/>
      <c r="B48" s="21" t="inlineStr">
        <is>
          <t>레이크머티리얼즈</t>
        </is>
      </c>
      <c r="C48" s="22" t="inlineStr">
        <is>
          <t>281740</t>
        </is>
      </c>
      <c r="D48" s="23" t="n">
        <v>10880</v>
      </c>
      <c r="E48" s="24" t="n">
        <v>0.715148</v>
      </c>
      <c r="F48" s="25" t="n">
        <v>0.0001342724615318878</v>
      </c>
      <c r="G48" s="26" t="n">
        <v>0.002288104552378935</v>
      </c>
      <c r="H48" s="22" t="inlineStr">
        <is>
          <t>가능</t>
        </is>
      </c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</row>
    <row r="50" ht="22" customHeight="1">
      <c r="A50" s="28" t="inlineStr">
        <is>
          <t>선정 결과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</row>
    <row r="51" ht="19" customHeight="1">
      <c r="A51" s="4" t="inlineStr">
        <is>
          <t>Top 1</t>
        </is>
      </c>
      <c r="B51" s="8" t="n"/>
      <c r="C51" s="29" t="inlineStr">
        <is>
          <t>선정 근거 (컨센서스와의 차이 중심, 2줄)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 ht="19" customHeight="1">
      <c r="A52" s="4" t="inlineStr">
        <is>
          <t>Top 2</t>
        </is>
      </c>
      <c r="B52" s="8" t="n"/>
      <c r="C52" s="5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19" customHeight="1">
      <c r="A53" s="4" t="inlineStr">
        <is>
          <t>Top 3</t>
        </is>
      </c>
      <c r="B53" s="8" t="n"/>
      <c r="C53" s="5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 ht="19" customHeight="1">
      <c r="A54" s="4" t="inlineStr">
        <is>
          <t>탈락 1</t>
        </is>
      </c>
      <c r="B54" s="8" t="n"/>
      <c r="C54" s="29" t="inlineStr">
        <is>
          <t>탈락 사유 (해당 지표와 수치를 명시)</t>
        </is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19" customHeight="1">
      <c r="A55" s="4" t="inlineStr">
        <is>
          <t>탈락 2</t>
        </is>
      </c>
      <c r="B55" s="8" t="n"/>
      <c r="C55" s="5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19" customHeight="1">
      <c r="A56" s="4" t="inlineStr">
        <is>
          <t>탈락 3</t>
        </is>
      </c>
      <c r="B56" s="8" t="n"/>
      <c r="C56" s="5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19" customHeight="1">
      <c r="A57" s="4" t="inlineStr">
        <is>
          <t>탈락 4</t>
        </is>
      </c>
      <c r="B57" s="8" t="n"/>
      <c r="C57" s="5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19" customHeight="1">
      <c r="A58" s="30" t="inlineStr">
        <is>
          <t>탈락 5</t>
        </is>
      </c>
      <c r="B58" s="31" t="n"/>
      <c r="C58" s="27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</row>
  </sheetData>
  <mergeCells count="16">
    <mergeCell ref="E4:F4"/>
    <mergeCell ref="C51:Q51"/>
    <mergeCell ref="C54:Q54"/>
    <mergeCell ref="C58:Q58"/>
    <mergeCell ref="B5:C5"/>
    <mergeCell ref="A7:Q7"/>
    <mergeCell ref="C57:Q57"/>
    <mergeCell ref="E5:F5"/>
    <mergeCell ref="K5:L5"/>
    <mergeCell ref="H5:I5"/>
    <mergeCell ref="C52:Q52"/>
    <mergeCell ref="C53:Q53"/>
    <mergeCell ref="H4:I4"/>
    <mergeCell ref="C55:Q55"/>
    <mergeCell ref="B4:C4"/>
    <mergeCell ref="C56:Q56"/>
  </mergeCells>
  <dataValidations count="1">
    <dataValidation sqref="Q11:Q4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소프트웨어·인터넷·게임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2.13%</t>
        </is>
      </c>
      <c r="C5" s="9" t="n"/>
      <c r="D5" s="4" t="inlineStr">
        <is>
          <t>배정액</t>
        </is>
      </c>
      <c r="E5" s="8" t="inlineStr">
        <is>
          <t>596,296원</t>
        </is>
      </c>
      <c r="F5" s="9" t="n"/>
      <c r="G5" s="4" t="inlineStr">
        <is>
          <t>종목 수</t>
        </is>
      </c>
      <c r="H5" s="8" t="inlineStr">
        <is>
          <t>14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NAVER</t>
        </is>
      </c>
      <c r="C10" s="13" t="inlineStr">
        <is>
          <t>035420</t>
        </is>
      </c>
      <c r="D10" s="14" t="n">
        <v>206000</v>
      </c>
      <c r="E10" s="15" t="n">
        <v>31.33144</v>
      </c>
      <c r="F10" s="16" t="n">
        <v>0.005882627892602164</v>
      </c>
      <c r="G10" s="17" t="n">
        <v>0.04332256781158646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삼성에스디에스</t>
        </is>
      </c>
      <c r="C11" s="13" t="inlineStr">
        <is>
          <t>018260</t>
        </is>
      </c>
      <c r="D11" s="14" t="n">
        <v>220500</v>
      </c>
      <c r="E11" s="15" t="n">
        <v>17.061805</v>
      </c>
      <c r="F11" s="16" t="n">
        <v>0.003203435590293298</v>
      </c>
      <c r="G11" s="17" t="n">
        <v>0.04637197185657677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카카오</t>
        </is>
      </c>
      <c r="C12" s="13" t="inlineStr">
        <is>
          <t>035720</t>
        </is>
      </c>
      <c r="D12" s="14" t="n">
        <v>34500</v>
      </c>
      <c r="E12" s="15" t="n">
        <v>15.283497</v>
      </c>
      <c r="F12" s="16" t="n">
        <v>0.002869549747751826</v>
      </c>
      <c r="G12" s="17" t="n">
        <v>0.007255478589804528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현대오토에버</t>
        </is>
      </c>
      <c r="C13" s="13" t="inlineStr">
        <is>
          <t>307950</t>
        </is>
      </c>
      <c r="D13" s="14" t="n">
        <v>370000</v>
      </c>
      <c r="E13" s="15" t="n">
        <v>10.146873</v>
      </c>
      <c r="F13" s="16" t="n">
        <v>0.00190512399469963</v>
      </c>
      <c r="G13" s="17" t="n">
        <v>0.07781237907906306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크래프톤</t>
        </is>
      </c>
      <c r="C14" s="13" t="inlineStr">
        <is>
          <t>259960</t>
        </is>
      </c>
      <c r="D14" s="14" t="n">
        <v>210500</v>
      </c>
      <c r="E14" s="15" t="n">
        <v>9.629942</v>
      </c>
      <c r="F14" s="16" t="n">
        <v>0.001808067724092511</v>
      </c>
      <c r="G14" s="17" t="n">
        <v>0.04426893458416966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LG씨엔에스</t>
        </is>
      </c>
      <c r="C15" s="13" t="inlineStr">
        <is>
          <t>064400</t>
        </is>
      </c>
      <c r="D15" s="14" t="n">
        <v>71000</v>
      </c>
      <c r="E15" s="15" t="n">
        <v>6.878902</v>
      </c>
      <c r="F15" s="16" t="n">
        <v>0.001291546790561711</v>
      </c>
      <c r="G15" s="17" t="n">
        <v>0.01493156463409048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카카오페이</t>
        </is>
      </c>
      <c r="C16" s="13" t="inlineStr">
        <is>
          <t>377300</t>
        </is>
      </c>
      <c r="D16" s="14" t="n">
        <v>45750</v>
      </c>
      <c r="E16" s="15" t="n">
        <v>6.190003</v>
      </c>
      <c r="F16" s="16" t="n">
        <v>0.001162202704474837</v>
      </c>
      <c r="G16" s="17" t="n">
        <v>0.009621395521262526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NC</t>
        </is>
      </c>
      <c r="C17" s="13" t="inlineStr">
        <is>
          <t>036570</t>
        </is>
      </c>
      <c r="D17" s="14" t="n">
        <v>204000</v>
      </c>
      <c r="E17" s="15" t="n">
        <v>4.39498</v>
      </c>
      <c r="F17" s="16" t="n">
        <v>0.0008251785406425193</v>
      </c>
      <c r="G17" s="17" t="n">
        <v>0.04290196035710504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포스코DX</t>
        </is>
      </c>
      <c r="C18" s="13" t="inlineStr">
        <is>
          <t>022100</t>
        </is>
      </c>
      <c r="D18" s="14" t="n">
        <v>21650</v>
      </c>
      <c r="E18" s="15" t="n">
        <v>3.291552</v>
      </c>
      <c r="F18" s="16" t="n">
        <v>0.0006180046498070448</v>
      </c>
      <c r="G18" s="17" t="n">
        <v>0.004553075694761393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넷마블</t>
        </is>
      </c>
      <c r="C19" s="13" t="inlineStr">
        <is>
          <t>251270</t>
        </is>
      </c>
      <c r="D19" s="14" t="n">
        <v>35150</v>
      </c>
      <c r="E19" s="15" t="n">
        <v>2.923019</v>
      </c>
      <c r="F19" s="16" t="n">
        <v>0.0005488108143132292</v>
      </c>
      <c r="G19" s="17" t="n">
        <v>0.00739217601251099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우리기술</t>
        </is>
      </c>
      <c r="C20" s="13" t="inlineStr">
        <is>
          <t>032820</t>
        </is>
      </c>
      <c r="D20" s="14" t="n">
        <v>13210</v>
      </c>
      <c r="E20" s="15" t="n">
        <v>2.282485</v>
      </c>
      <c r="F20" s="16" t="n">
        <v>0.0004285474885752474</v>
      </c>
      <c r="G20" s="17" t="n">
        <v>0.002778112236849792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펄어비스</t>
        </is>
      </c>
      <c r="C21" s="13" t="inlineStr">
        <is>
          <t>263750</t>
        </is>
      </c>
      <c r="D21" s="14" t="n">
        <v>35700</v>
      </c>
      <c r="E21" s="15" t="n">
        <v>2.243528</v>
      </c>
      <c r="F21" s="16" t="n">
        <v>0.000421233125277164</v>
      </c>
      <c r="G21" s="17" t="n">
        <v>0.007507843062493381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카카오게임즈</t>
        </is>
      </c>
      <c r="C22" s="13" t="inlineStr">
        <is>
          <t>293490</t>
        </is>
      </c>
      <c r="D22" s="14" t="n">
        <v>9880</v>
      </c>
      <c r="E22" s="15" t="n">
        <v>1.054643</v>
      </c>
      <c r="F22" s="16" t="n">
        <v>0.0001980142734753852</v>
      </c>
      <c r="G22" s="17" t="n">
        <v>0.002077800825138224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33" t="n"/>
      <c r="B23" s="21" t="inlineStr">
        <is>
          <t>클로봇</t>
        </is>
      </c>
      <c r="C23" s="22" t="inlineStr">
        <is>
          <t>466100</t>
        </is>
      </c>
      <c r="D23" s="23" t="n">
        <v>23050</v>
      </c>
      <c r="E23" s="24" t="n">
        <v>0.713484</v>
      </c>
      <c r="F23" s="25" t="n">
        <v>0.0001339600375637175</v>
      </c>
      <c r="G23" s="26" t="n">
        <v>0.004847500912898387</v>
      </c>
      <c r="H23" s="22" t="inlineStr">
        <is>
          <t>가능</t>
        </is>
      </c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</row>
    <row r="25" ht="22" customHeight="1">
      <c r="A25" s="28" t="inlineStr">
        <is>
          <t>선정 결과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</row>
    <row r="26" ht="19" customHeight="1">
      <c r="A26" s="4" t="inlineStr">
        <is>
          <t>Top 1</t>
        </is>
      </c>
      <c r="B26" s="8" t="n"/>
      <c r="C26" s="29" t="inlineStr">
        <is>
          <t>선정 근거 (컨센서스와의 차이 중심, 2줄)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Top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1</t>
        </is>
      </c>
      <c r="B29" s="8" t="n"/>
      <c r="C29" s="29" t="inlineStr">
        <is>
          <t>탈락 사유 (해당 지표와 수치를 명시)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2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3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탈락 4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30" t="inlineStr">
        <is>
          <t>탈락 5</t>
        </is>
      </c>
      <c r="B33" s="31" t="n"/>
      <c r="C33" s="27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</row>
  </sheetData>
  <mergeCells count="15">
    <mergeCell ref="C29:Q29"/>
    <mergeCell ref="C30:Q30"/>
    <mergeCell ref="E4:F4"/>
    <mergeCell ref="C33:Q33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3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전력기기·유틸리티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3.64%</t>
        </is>
      </c>
      <c r="C5" s="9" t="n"/>
      <c r="D5" s="4" t="inlineStr">
        <is>
          <t>배정액</t>
        </is>
      </c>
      <c r="E5" s="8" t="inlineStr">
        <is>
          <t>1,018,935원</t>
        </is>
      </c>
      <c r="F5" s="9" t="n"/>
      <c r="G5" s="4" t="inlineStr">
        <is>
          <t>종목 수</t>
        </is>
      </c>
      <c r="H5" s="8" t="inlineStr">
        <is>
          <t>18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두산에너빌리티</t>
        </is>
      </c>
      <c r="C10" s="13" t="inlineStr">
        <is>
          <t>034020</t>
        </is>
      </c>
      <c r="D10" s="14" t="n">
        <v>86200</v>
      </c>
      <c r="E10" s="15" t="n">
        <v>55.216371</v>
      </c>
      <c r="F10" s="16" t="n">
        <v>0.01036713806237023</v>
      </c>
      <c r="G10" s="17" t="n">
        <v>0.01826494220153936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LS ELECTRIC</t>
        </is>
      </c>
      <c r="C11" s="13" t="inlineStr">
        <is>
          <t>010120</t>
        </is>
      </c>
      <c r="D11" s="14" t="n">
        <v>194700</v>
      </c>
      <c r="E11" s="15" t="n">
        <v>29.205</v>
      </c>
      <c r="F11" s="16" t="n">
        <v>0.005483378600008368</v>
      </c>
      <c r="G11" s="17" t="n">
        <v>0.0412550376640338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HD현대일렉트릭</t>
        </is>
      </c>
      <c r="C12" s="13" t="inlineStr">
        <is>
          <t>267260</t>
        </is>
      </c>
      <c r="D12" s="14" t="n">
        <v>700000</v>
      </c>
      <c r="E12" s="15" t="n">
        <v>25.232995</v>
      </c>
      <c r="F12" s="16" t="n">
        <v>0.00473761564105866</v>
      </c>
      <c r="G12" s="17" t="n">
        <v>0.1483231965322222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효성중공업</t>
        </is>
      </c>
      <c r="C13" s="13" t="inlineStr">
        <is>
          <t>298040</t>
        </is>
      </c>
      <c r="D13" s="14" t="n">
        <v>2689000</v>
      </c>
      <c r="E13" s="15" t="n">
        <v>25.07371</v>
      </c>
      <c r="F13" s="16" t="n">
        <v>0.00470770911956226</v>
      </c>
      <c r="G13" s="17" t="n">
        <v>0.5697729649644936</v>
      </c>
      <c r="H13" s="36" t="inlineStr">
        <is>
          <t>매수 불가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한국전력</t>
        </is>
      </c>
      <c r="C14" s="13" t="inlineStr">
        <is>
          <t>015760</t>
        </is>
      </c>
      <c r="D14" s="14" t="n">
        <v>31350</v>
      </c>
      <c r="E14" s="15" t="n">
        <v>20.125574</v>
      </c>
      <c r="F14" s="16" t="n">
        <v>0.003778672891096895</v>
      </c>
      <c r="G14" s="17" t="n">
        <v>0.006642760301835951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산일전기</t>
        </is>
      </c>
      <c r="C15" s="13" t="inlineStr">
        <is>
          <t>062040</t>
        </is>
      </c>
      <c r="D15" s="14" t="n">
        <v>187500</v>
      </c>
      <c r="E15" s="15" t="n">
        <v>5.745534</v>
      </c>
      <c r="F15" s="16" t="n">
        <v>0.001078751521356633</v>
      </c>
      <c r="G15" s="17" t="n">
        <v>0.03972942764255952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한전기술</t>
        </is>
      </c>
      <c r="C16" s="13" t="inlineStr">
        <is>
          <t>052690</t>
        </is>
      </c>
      <c r="D16" s="14" t="n">
        <v>143800</v>
      </c>
      <c r="E16" s="15" t="n">
        <v>5.496036</v>
      </c>
      <c r="F16" s="16" t="n">
        <v>0.00103190707711952</v>
      </c>
      <c r="G16" s="17" t="n">
        <v>0.03046982237333365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대한전선</t>
        </is>
      </c>
      <c r="C17" s="13" t="inlineStr">
        <is>
          <t>001440</t>
        </is>
      </c>
      <c r="D17" s="14" t="n">
        <v>27900</v>
      </c>
      <c r="E17" s="15" t="n">
        <v>5.468193</v>
      </c>
      <c r="F17" s="16" t="n">
        <v>0.001026679420541536</v>
      </c>
      <c r="G17" s="17" t="n">
        <v>0.005911738833212856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한국가스공사</t>
        </is>
      </c>
      <c r="C18" s="13" t="inlineStr">
        <is>
          <t>036460</t>
        </is>
      </c>
      <c r="D18" s="14" t="n">
        <v>36900</v>
      </c>
      <c r="E18" s="15" t="n">
        <v>3.40635</v>
      </c>
      <c r="F18" s="16" t="n">
        <v>0.0006395585240246021</v>
      </c>
      <c r="G18" s="17" t="n">
        <v>0.007818751360055713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두산퓨얼셀</t>
        </is>
      </c>
      <c r="C19" s="13" t="inlineStr">
        <is>
          <t>336260</t>
        </is>
      </c>
      <c r="D19" s="14" t="n">
        <v>51600</v>
      </c>
      <c r="E19" s="15" t="n">
        <v>3.379476</v>
      </c>
      <c r="F19" s="16" t="n">
        <v>0.0006345128018367362</v>
      </c>
      <c r="G19" s="17" t="n">
        <v>0.01093353848723238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일진전기</t>
        </is>
      </c>
      <c r="C20" s="13" t="inlineStr">
        <is>
          <t>103590</t>
        </is>
      </c>
      <c r="D20" s="14" t="n">
        <v>68400</v>
      </c>
      <c r="E20" s="15" t="n">
        <v>3.261681</v>
      </c>
      <c r="F20" s="16" t="n">
        <v>0.0006123962265178528</v>
      </c>
      <c r="G20" s="17" t="n">
        <v>0.01449329520400571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씨에스윈드</t>
        </is>
      </c>
      <c r="C21" s="13" t="inlineStr">
        <is>
          <t>112610</t>
        </is>
      </c>
      <c r="D21" s="14" t="n">
        <v>53000</v>
      </c>
      <c r="E21" s="15" t="n">
        <v>2.235084</v>
      </c>
      <c r="F21" s="16" t="n">
        <v>0.0004196477238425305</v>
      </c>
      <c r="G21" s="17" t="n">
        <v>0.01123018488029682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한전KPS</t>
        </is>
      </c>
      <c r="C22" s="13" t="inlineStr">
        <is>
          <t>051600</t>
        </is>
      </c>
      <c r="D22" s="14" t="n">
        <v>47600</v>
      </c>
      <c r="E22" s="15" t="n">
        <v>2.142</v>
      </c>
      <c r="F22" s="16" t="n">
        <v>0.0004021707571038495</v>
      </c>
      <c r="G22" s="17" t="n">
        <v>0.01008597736419111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비에이치아이</t>
        </is>
      </c>
      <c r="C23" s="13" t="inlineStr">
        <is>
          <t>083650</t>
        </is>
      </c>
      <c r="D23" s="14" t="n">
        <v>65200</v>
      </c>
      <c r="E23" s="15" t="n">
        <v>2.017573</v>
      </c>
      <c r="F23" s="16" t="n">
        <v>0.0003788089920272105</v>
      </c>
      <c r="G23" s="17" t="n">
        <v>0.0138152463055727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SK이터닉스</t>
        </is>
      </c>
      <c r="C24" s="13" t="inlineStr">
        <is>
          <t>475150</t>
        </is>
      </c>
      <c r="D24" s="14" t="n">
        <v>49900</v>
      </c>
      <c r="E24" s="15" t="n">
        <v>1.699943</v>
      </c>
      <c r="F24" s="16" t="n">
        <v>0.0003191724385356625</v>
      </c>
      <c r="G24" s="17" t="n">
        <v>0.01057332500993984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LS에코에너지</t>
        </is>
      </c>
      <c r="C25" s="13" t="inlineStr">
        <is>
          <t>229640</t>
        </is>
      </c>
      <c r="D25" s="14" t="n">
        <v>49850</v>
      </c>
      <c r="E25" s="15" t="n">
        <v>1.52665</v>
      </c>
      <c r="F25" s="16" t="n">
        <v>0.0002866358479610606</v>
      </c>
      <c r="G25" s="17" t="n">
        <v>0.01056273049590182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HD현대에너지솔루션</t>
        </is>
      </c>
      <c r="C26" s="13" t="inlineStr">
        <is>
          <t>322000</t>
        </is>
      </c>
      <c r="D26" s="14" t="n">
        <v>123400</v>
      </c>
      <c r="E26" s="15" t="n">
        <v>1.38208</v>
      </c>
      <c r="F26" s="16" t="n">
        <v>0.0002594921381783792</v>
      </c>
      <c r="G26" s="17" t="n">
        <v>0.02614726064582317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33" t="n"/>
      <c r="B27" s="21" t="inlineStr">
        <is>
          <t>비츠로셀</t>
        </is>
      </c>
      <c r="C27" s="22" t="inlineStr">
        <is>
          <t>082920</t>
        </is>
      </c>
      <c r="D27" s="23" t="n">
        <v>26700</v>
      </c>
      <c r="E27" s="24" t="n">
        <v>1.205224</v>
      </c>
      <c r="F27" s="25" t="n">
        <v>0.0002262865772921241</v>
      </c>
      <c r="G27" s="26" t="n">
        <v>0.005657470496300475</v>
      </c>
      <c r="H27" s="22" t="inlineStr">
        <is>
          <t>가능</t>
        </is>
      </c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</row>
    <row r="29" ht="22" customHeight="1">
      <c r="A29" s="28" t="inlineStr">
        <is>
          <t>선정 결과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</row>
    <row r="30" ht="19" customHeight="1">
      <c r="A30" s="4" t="inlineStr">
        <is>
          <t>Top 1</t>
        </is>
      </c>
      <c r="B30" s="8" t="n"/>
      <c r="C30" s="29" t="inlineStr">
        <is>
          <t>선정 근거 (컨센서스와의 차이 중심, 2줄)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Top 2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Top 3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탈락 1</t>
        </is>
      </c>
      <c r="B33" s="8" t="n"/>
      <c r="C33" s="29" t="inlineStr">
        <is>
          <t>탈락 사유 (해당 지표와 수치를 명시)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탈락 2</t>
        </is>
      </c>
      <c r="B34" s="8" t="n"/>
      <c r="C34" s="5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3</t>
        </is>
      </c>
      <c r="B35" s="8" t="n"/>
      <c r="C35" s="5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4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30" t="inlineStr">
        <is>
          <t>탈락 5</t>
        </is>
      </c>
      <c r="B37" s="31" t="n"/>
      <c r="C37" s="27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</row>
  </sheetData>
  <mergeCells count="15">
    <mergeCell ref="C30:Q30"/>
    <mergeCell ref="E4:F4"/>
    <mergeCell ref="C33:Q33"/>
    <mergeCell ref="C32:Q32"/>
    <mergeCell ref="B5:C5"/>
    <mergeCell ref="C36:Q36"/>
    <mergeCell ref="E5:F5"/>
    <mergeCell ref="K5:L5"/>
    <mergeCell ref="H5:I5"/>
    <mergeCell ref="C31:Q31"/>
    <mergeCell ref="C37:Q37"/>
    <mergeCell ref="H4:I4"/>
    <mergeCell ref="C34:Q34"/>
    <mergeCell ref="C35:Q35"/>
    <mergeCell ref="B4:C4"/>
  </mergeCells>
  <dataValidations count="1">
    <dataValidation sqref="Q10:Q2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조선·기자재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2.60%</t>
        </is>
      </c>
      <c r="C5" s="9" t="n"/>
      <c r="D5" s="4" t="inlineStr">
        <is>
          <t>배정액</t>
        </is>
      </c>
      <c r="E5" s="8" t="inlineStr">
        <is>
          <t>727,472원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HD현대중공업</t>
        </is>
      </c>
      <c r="C10" s="13" t="inlineStr">
        <is>
          <t>329180</t>
        </is>
      </c>
      <c r="D10" s="14" t="n">
        <v>453500</v>
      </c>
      <c r="E10" s="15" t="n">
        <v>47.599916</v>
      </c>
      <c r="F10" s="16" t="n">
        <v>0.008937112164238861</v>
      </c>
      <c r="G10" s="17" t="n">
        <v>0.09609224232480396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한화오션</t>
        </is>
      </c>
      <c r="C11" s="13" t="inlineStr">
        <is>
          <t>042660</t>
        </is>
      </c>
      <c r="D11" s="14" t="n">
        <v>82400</v>
      </c>
      <c r="E11" s="15" t="n">
        <v>25.248464</v>
      </c>
      <c r="F11" s="16" t="n">
        <v>0.004740520019882954</v>
      </c>
      <c r="G11" s="17" t="n">
        <v>0.01745975913465016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HD한국조선해양</t>
        </is>
      </c>
      <c r="C12" s="13" t="inlineStr">
        <is>
          <t>009540</t>
        </is>
      </c>
      <c r="D12" s="14" t="n">
        <v>339000</v>
      </c>
      <c r="E12" s="15" t="n">
        <v>23.992086</v>
      </c>
      <c r="F12" s="16" t="n">
        <v>0.004504629034136633</v>
      </c>
      <c r="G12" s="17" t="n">
        <v>0.07183080517774761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삼성중공업</t>
        </is>
      </c>
      <c r="C13" s="13" t="inlineStr">
        <is>
          <t>010140</t>
        </is>
      </c>
      <c r="D13" s="14" t="n">
        <v>20700</v>
      </c>
      <c r="E13" s="15" t="n">
        <v>18.216</v>
      </c>
      <c r="F13" s="16" t="n">
        <v>0.003420141228479796</v>
      </c>
      <c r="G13" s="17" t="n">
        <v>0.004386128811738571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HD현대마린솔루션</t>
        </is>
      </c>
      <c r="C14" s="13" t="inlineStr">
        <is>
          <t>443060</t>
        </is>
      </c>
      <c r="D14" s="14" t="n">
        <v>232000</v>
      </c>
      <c r="E14" s="15" t="n">
        <v>10.401363</v>
      </c>
      <c r="F14" s="16" t="n">
        <v>0.001952905710841255</v>
      </c>
      <c r="G14" s="17" t="n">
        <v>0.04915854513639364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한화엔진</t>
        </is>
      </c>
      <c r="C15" s="13" t="inlineStr">
        <is>
          <t>082740</t>
        </is>
      </c>
      <c r="D15" s="14" t="n">
        <v>47800</v>
      </c>
      <c r="E15" s="15" t="n">
        <v>3.988773</v>
      </c>
      <c r="F15" s="16" t="n">
        <v>0.0007489112312443477</v>
      </c>
      <c r="G15" s="17" t="n">
        <v>0.01012835542034317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대한조선</t>
        </is>
      </c>
      <c r="C16" s="13" t="inlineStr">
        <is>
          <t>439260</t>
        </is>
      </c>
      <c r="D16" s="14" t="n">
        <v>46000</v>
      </c>
      <c r="E16" s="15" t="n">
        <v>1.752082</v>
      </c>
      <c r="F16" s="16" t="n">
        <v>0.0003289617854565952</v>
      </c>
      <c r="G16" s="17" t="n">
        <v>0.009746952914974601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LS마린솔루션</t>
        </is>
      </c>
      <c r="C17" s="13" t="inlineStr">
        <is>
          <t>060370</t>
        </is>
      </c>
      <c r="D17" s="14" t="n">
        <v>32450</v>
      </c>
      <c r="E17" s="15" t="n">
        <v>1.695151</v>
      </c>
      <c r="F17" s="16" t="n">
        <v>0.0003182727175888644</v>
      </c>
      <c r="G17" s="17" t="n">
        <v>0.006875839610672301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HD현대마린엔진</t>
        </is>
      </c>
      <c r="C18" s="13" t="inlineStr">
        <is>
          <t>071970</t>
        </is>
      </c>
      <c r="D18" s="14" t="n">
        <v>49750</v>
      </c>
      <c r="E18" s="15" t="n">
        <v>1.687594</v>
      </c>
      <c r="F18" s="16" t="n">
        <v>0.0003168538546516871</v>
      </c>
      <c r="G18" s="17" t="n">
        <v>0.01054154146782579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HJ중공업</t>
        </is>
      </c>
      <c r="C19" s="13" t="inlineStr">
        <is>
          <t>097230</t>
        </is>
      </c>
      <c r="D19" s="14" t="n">
        <v>15170</v>
      </c>
      <c r="E19" s="15" t="n">
        <v>1.36978</v>
      </c>
      <c r="F19" s="16" t="n">
        <v>0.0002571827542790434</v>
      </c>
      <c r="G19" s="17" t="n">
        <v>0.003214375559134015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한국카본</t>
        </is>
      </c>
      <c r="C20" s="13" t="inlineStr">
        <is>
          <t>017960</t>
        </is>
      </c>
      <c r="D20" s="14" t="n">
        <v>21150</v>
      </c>
      <c r="E20" s="15" t="n">
        <v>1.092958</v>
      </c>
      <c r="F20" s="16" t="n">
        <v>0.0002052080981992106</v>
      </c>
      <c r="G20" s="17" t="n">
        <v>0.004481479438080713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SK오션플랜트</t>
        </is>
      </c>
      <c r="C21" s="13" t="inlineStr">
        <is>
          <t>100090</t>
        </is>
      </c>
      <c r="D21" s="14" t="n">
        <v>12150</v>
      </c>
      <c r="E21" s="15" t="n">
        <v>0.759109</v>
      </c>
      <c r="F21" s="16" t="n">
        <v>0.0001425263497919449</v>
      </c>
      <c r="G21" s="17" t="n">
        <v>0.002574466911237857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세진중공업</t>
        </is>
      </c>
      <c r="C22" s="22" t="inlineStr">
        <is>
          <t>075580</t>
        </is>
      </c>
      <c r="D22" s="23" t="n">
        <v>10110</v>
      </c>
      <c r="E22" s="24" t="n">
        <v>0.574748</v>
      </c>
      <c r="F22" s="25" t="n">
        <v>0.0001079116892175179</v>
      </c>
      <c r="G22" s="26" t="n">
        <v>0.002142210738486809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기계·건설·로봇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2.64%</t>
        </is>
      </c>
      <c r="C5" s="9" t="n"/>
      <c r="D5" s="4" t="inlineStr">
        <is>
          <t>배정액</t>
        </is>
      </c>
      <c r="E5" s="8" t="inlineStr">
        <is>
          <t>738,019원</t>
        </is>
      </c>
      <c r="F5" s="9" t="n"/>
      <c r="G5" s="4" t="inlineStr">
        <is>
          <t>종목 수</t>
        </is>
      </c>
      <c r="H5" s="8" t="inlineStr">
        <is>
          <t>19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삼성물산</t>
        </is>
      </c>
      <c r="C10" s="13" t="inlineStr">
        <is>
          <t>028260</t>
        </is>
      </c>
      <c r="D10" s="14" t="n">
        <v>347000</v>
      </c>
      <c r="E10" s="15" t="n">
        <v>56.272151</v>
      </c>
      <c r="F10" s="16" t="n">
        <v>0.01056536581304022</v>
      </c>
      <c r="G10" s="17" t="n">
        <v>0.07352592742383014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현대건설</t>
        </is>
      </c>
      <c r="C11" s="13" t="inlineStr">
        <is>
          <t>000720</t>
        </is>
      </c>
      <c r="D11" s="14" t="n">
        <v>128100</v>
      </c>
      <c r="E11" s="15" t="n">
        <v>14.264673</v>
      </c>
      <c r="F11" s="16" t="n">
        <v>0.002678260663048011</v>
      </c>
      <c r="G11" s="17" t="n">
        <v>0.02714314496539666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삼성E&amp;A</t>
        </is>
      </c>
      <c r="C12" s="13" t="inlineStr">
        <is>
          <t>028050</t>
        </is>
      </c>
      <c r="D12" s="14" t="n">
        <v>50800</v>
      </c>
      <c r="E12" s="15" t="n">
        <v>9.956799999999999</v>
      </c>
      <c r="F12" s="16" t="n">
        <v>0.001869436878772927</v>
      </c>
      <c r="G12" s="17" t="n">
        <v>0.01076402626262413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레인보우로보틱스</t>
        </is>
      </c>
      <c r="C13" s="13" t="inlineStr">
        <is>
          <t>277810</t>
        </is>
      </c>
      <c r="D13" s="14" t="n">
        <v>433500</v>
      </c>
      <c r="E13" s="15" t="n">
        <v>8.409838000000001</v>
      </c>
      <c r="F13" s="16" t="n">
        <v>0.001578987355546556</v>
      </c>
      <c r="G13" s="17" t="n">
        <v>0.0918544367095976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대우건설</t>
        </is>
      </c>
      <c r="C14" s="13" t="inlineStr">
        <is>
          <t>047040</t>
        </is>
      </c>
      <c r="D14" s="14" t="n">
        <v>19130</v>
      </c>
      <c r="E14" s="15" t="n">
        <v>7.860663</v>
      </c>
      <c r="F14" s="16" t="n">
        <v>0.001475877119536982</v>
      </c>
      <c r="G14" s="17" t="n">
        <v>0.004053461070944872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HD건설기계</t>
        </is>
      </c>
      <c r="C15" s="13" t="inlineStr">
        <is>
          <t>267270</t>
        </is>
      </c>
      <c r="D15" s="14" t="n">
        <v>134500</v>
      </c>
      <c r="E15" s="15" t="n">
        <v>6.388398</v>
      </c>
      <c r="F15" s="16" t="n">
        <v>0.001199452315751969</v>
      </c>
      <c r="G15" s="17" t="n">
        <v>0.02849924276226269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두산밥캣</t>
        </is>
      </c>
      <c r="C16" s="13" t="inlineStr">
        <is>
          <t>241560</t>
        </is>
      </c>
      <c r="D16" s="14" t="n">
        <v>60000</v>
      </c>
      <c r="E16" s="15" t="n">
        <v>5.751364</v>
      </c>
      <c r="F16" s="16" t="n">
        <v>0.001079846131773961</v>
      </c>
      <c r="G16" s="17" t="n">
        <v>0.01271341684561905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로보티즈</t>
        </is>
      </c>
      <c r="C17" s="13" t="inlineStr">
        <is>
          <t>108490</t>
        </is>
      </c>
      <c r="D17" s="14" t="n">
        <v>324500</v>
      </c>
      <c r="E17" s="15" t="n">
        <v>4.759451</v>
      </c>
      <c r="F17" s="16" t="n">
        <v>0.0008936097161851883</v>
      </c>
      <c r="G17" s="17" t="n">
        <v>0.068758396106723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두산로보틱스</t>
        </is>
      </c>
      <c r="C18" s="13" t="inlineStr">
        <is>
          <t>454910</t>
        </is>
      </c>
      <c r="D18" s="14" t="n">
        <v>69500</v>
      </c>
      <c r="E18" s="15" t="n">
        <v>4.504989</v>
      </c>
      <c r="F18" s="16" t="n">
        <v>0.0008458332571776441</v>
      </c>
      <c r="G18" s="17" t="n">
        <v>0.01472637451284206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KCC</t>
        </is>
      </c>
      <c r="C19" s="13" t="inlineStr">
        <is>
          <t>002380</t>
        </is>
      </c>
      <c r="D19" s="14" t="n">
        <v>470000</v>
      </c>
      <c r="E19" s="15" t="n">
        <v>4.038661</v>
      </c>
      <c r="F19" s="16" t="n">
        <v>0.0007582779421362232</v>
      </c>
      <c r="G19" s="17" t="n">
        <v>0.09958843195734919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DL이앤씨</t>
        </is>
      </c>
      <c r="C20" s="13" t="inlineStr">
        <is>
          <t>375500</t>
        </is>
      </c>
      <c r="D20" s="14" t="n">
        <v>89400</v>
      </c>
      <c r="E20" s="15" t="n">
        <v>3.45921</v>
      </c>
      <c r="F20" s="16" t="n">
        <v>0.0006494832421480894</v>
      </c>
      <c r="G20" s="17" t="n">
        <v>0.01894299109997238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GS건설</t>
        </is>
      </c>
      <c r="C21" s="13" t="inlineStr">
        <is>
          <t>006360</t>
        </is>
      </c>
      <c r="D21" s="14" t="n">
        <v>37800</v>
      </c>
      <c r="E21" s="15" t="n">
        <v>3.23498</v>
      </c>
      <c r="F21" s="16" t="n">
        <v>0.0006073829859084085</v>
      </c>
      <c r="G21" s="17" t="n">
        <v>0.008009452612739998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현대엘리베이터</t>
        </is>
      </c>
      <c r="C22" s="13" t="inlineStr">
        <is>
          <t>017800</t>
        </is>
      </c>
      <c r="D22" s="14" t="n">
        <v>73100</v>
      </c>
      <c r="E22" s="15" t="n">
        <v>2.857653</v>
      </c>
      <c r="F22" s="16" t="n">
        <v>0.000536538034803962</v>
      </c>
      <c r="G22" s="17" t="n">
        <v>0.0154891795235792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현대무벡스</t>
        </is>
      </c>
      <c r="C23" s="13" t="inlineStr">
        <is>
          <t>319400</t>
        </is>
      </c>
      <c r="D23" s="14" t="n">
        <v>21450</v>
      </c>
      <c r="E23" s="15" t="n">
        <v>2.389016</v>
      </c>
      <c r="F23" s="16" t="n">
        <v>0.000448549193955747</v>
      </c>
      <c r="G23" s="17" t="n">
        <v>0.004545046522308809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에스피지</t>
        </is>
      </c>
      <c r="C24" s="13" t="inlineStr">
        <is>
          <t>058610</t>
        </is>
      </c>
      <c r="D24" s="14" t="n">
        <v>102800</v>
      </c>
      <c r="E24" s="15" t="n">
        <v>2.279833</v>
      </c>
      <c r="F24" s="16" t="n">
        <v>0.0004280495628759759</v>
      </c>
      <c r="G24" s="17" t="n">
        <v>0.02178232086216063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삼현</t>
        </is>
      </c>
      <c r="C25" s="13" t="inlineStr">
        <is>
          <t>437730</t>
        </is>
      </c>
      <c r="D25" s="14" t="n">
        <v>52700</v>
      </c>
      <c r="E25" s="15" t="n">
        <v>1.670989</v>
      </c>
      <c r="F25" s="16" t="n">
        <v>0.0003137361863875837</v>
      </c>
      <c r="G25" s="17" t="n">
        <v>0.01116661779606873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유일로보틱스</t>
        </is>
      </c>
      <c r="C26" s="13" t="inlineStr">
        <is>
          <t>388720</t>
        </is>
      </c>
      <c r="D26" s="14" t="n">
        <v>69500</v>
      </c>
      <c r="E26" s="15" t="n">
        <v>0.8188029999999999</v>
      </c>
      <c r="F26" s="16" t="n">
        <v>0.0001537341841404777</v>
      </c>
      <c r="G26" s="17" t="n">
        <v>0.01472637451284206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18" t="n"/>
      <c r="B27" s="12" t="inlineStr">
        <is>
          <t>휴림로봇</t>
        </is>
      </c>
      <c r="C27" s="13" t="inlineStr">
        <is>
          <t>090710</t>
        </is>
      </c>
      <c r="D27" s="14" t="n">
        <v>6140</v>
      </c>
      <c r="E27" s="15" t="n">
        <v>0.734092</v>
      </c>
      <c r="F27" s="16" t="n">
        <v>0.0001378292882464421</v>
      </c>
      <c r="G27" s="17" t="n">
        <v>0.001301006323868349</v>
      </c>
      <c r="H27" s="13" t="inlineStr">
        <is>
          <t>가능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20" t="n"/>
      <c r="B28" s="21" t="inlineStr">
        <is>
          <t>삼표시멘트</t>
        </is>
      </c>
      <c r="C28" s="22" t="inlineStr">
        <is>
          <t>038500</t>
        </is>
      </c>
      <c r="D28" s="23" t="n">
        <v>6790</v>
      </c>
      <c r="E28" s="24" t="n">
        <v>0.732752</v>
      </c>
      <c r="F28" s="25" t="n">
        <v>0.0001375776968297665</v>
      </c>
      <c r="G28" s="26" t="n">
        <v>0.001438735006362555</v>
      </c>
      <c r="H28" s="22" t="inlineStr">
        <is>
          <t>가능</t>
        </is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30" ht="22" customHeight="1">
      <c r="A30" s="28" t="inlineStr">
        <is>
          <t>선정 결과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</row>
    <row r="31" ht="19" customHeight="1">
      <c r="A31" s="4" t="inlineStr">
        <is>
          <t>Top 1</t>
        </is>
      </c>
      <c r="B31" s="8" t="n"/>
      <c r="C31" s="29" t="inlineStr">
        <is>
          <t>선정 근거 (컨센서스와의 차이 중심, 2줄)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Top 2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Top 3</t>
        </is>
      </c>
      <c r="B33" s="8" t="n"/>
      <c r="C33" s="5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탈락 1</t>
        </is>
      </c>
      <c r="B34" s="8" t="n"/>
      <c r="C34" s="29" t="inlineStr">
        <is>
          <t>탈락 사유 (해당 지표와 수치를 명시)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2</t>
        </is>
      </c>
      <c r="B35" s="8" t="n"/>
      <c r="C35" s="5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3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탈락 4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30" t="inlineStr">
        <is>
          <t>탈락 5</t>
        </is>
      </c>
      <c r="B38" s="31" t="n"/>
      <c r="C38" s="27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</row>
  </sheetData>
  <mergeCells count="15">
    <mergeCell ref="E4:F4"/>
    <mergeCell ref="C33:Q33"/>
    <mergeCell ref="C32:Q32"/>
    <mergeCell ref="C38:Q38"/>
    <mergeCell ref="B5:C5"/>
    <mergeCell ref="C36:Q36"/>
    <mergeCell ref="E5:F5"/>
    <mergeCell ref="K5:L5"/>
    <mergeCell ref="H5:I5"/>
    <mergeCell ref="C31:Q31"/>
    <mergeCell ref="C37:Q37"/>
    <mergeCell ref="H4:I4"/>
    <mergeCell ref="C34:Q34"/>
    <mergeCell ref="C35:Q35"/>
    <mergeCell ref="B4:C4"/>
  </mergeCells>
  <dataValidations count="1">
    <dataValidation sqref="Q10:Q2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방산·우주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2.11%</t>
        </is>
      </c>
      <c r="C5" s="9" t="n"/>
      <c r="D5" s="4" t="inlineStr">
        <is>
          <t>배정액</t>
        </is>
      </c>
      <c r="E5" s="8" t="inlineStr">
        <is>
          <t>590,999원</t>
        </is>
      </c>
      <c r="F5" s="9" t="n"/>
      <c r="G5" s="4" t="inlineStr">
        <is>
          <t>종목 수</t>
        </is>
      </c>
      <c r="H5" s="8" t="inlineStr">
        <is>
          <t>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한화에어로스페이스</t>
        </is>
      </c>
      <c r="C10" s="13" t="inlineStr">
        <is>
          <t>012450</t>
        </is>
      </c>
      <c r="D10" s="14" t="n">
        <v>1063000</v>
      </c>
      <c r="E10" s="15" t="n">
        <v>54.811895</v>
      </c>
      <c r="F10" s="16" t="n">
        <v>0.01029119575651107</v>
      </c>
      <c r="G10" s="17" t="n">
        <v>0.2252393684482174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LIG디펜스앤에어로스페이스</t>
        </is>
      </c>
      <c r="C11" s="13" t="inlineStr">
        <is>
          <t>079550</t>
        </is>
      </c>
      <c r="D11" s="14" t="n">
        <v>671000</v>
      </c>
      <c r="E11" s="15" t="n">
        <v>14.762</v>
      </c>
      <c r="F11" s="16" t="n">
        <v>0.002771636188780124</v>
      </c>
      <c r="G11" s="17" t="n">
        <v>0.142178378390173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현대로템</t>
        </is>
      </c>
      <c r="C12" s="13" t="inlineStr">
        <is>
          <t>064350</t>
        </is>
      </c>
      <c r="D12" s="14" t="n">
        <v>121400</v>
      </c>
      <c r="E12" s="15" t="n">
        <v>13.249874</v>
      </c>
      <c r="F12" s="16" t="n">
        <v>0.002487727291368166</v>
      </c>
      <c r="G12" s="17" t="n">
        <v>0.02572348008430253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한화시스템</t>
        </is>
      </c>
      <c r="C13" s="13" t="inlineStr">
        <is>
          <t>272210</t>
        </is>
      </c>
      <c r="D13" s="14" t="n">
        <v>69700</v>
      </c>
      <c r="E13" s="15" t="n">
        <v>13.167681</v>
      </c>
      <c r="F13" s="16" t="n">
        <v>0.002472295162031734</v>
      </c>
      <c r="G13" s="17" t="n">
        <v>0.01476875256899412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한국항공우주</t>
        </is>
      </c>
      <c r="C14" s="13" t="inlineStr">
        <is>
          <t>047810</t>
        </is>
      </c>
      <c r="D14" s="14" t="n">
        <v>129000</v>
      </c>
      <c r="E14" s="15" t="n">
        <v>12.574289</v>
      </c>
      <c r="F14" s="16" t="n">
        <v>0.002360882972536231</v>
      </c>
      <c r="G14" s="17" t="n">
        <v>0.02733384621808095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풍산</t>
        </is>
      </c>
      <c r="C15" s="13" t="inlineStr">
        <is>
          <t>103140</t>
        </is>
      </c>
      <c r="D15" s="14" t="n">
        <v>76100</v>
      </c>
      <c r="E15" s="15" t="n">
        <v>2.132648</v>
      </c>
      <c r="F15" s="16" t="n">
        <v>0.0004004148743212</v>
      </c>
      <c r="G15" s="17" t="n">
        <v>0.01612485036586015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STX엔진</t>
        </is>
      </c>
      <c r="C16" s="13" t="inlineStr">
        <is>
          <t>077970</t>
        </is>
      </c>
      <c r="D16" s="14" t="n">
        <v>23150</v>
      </c>
      <c r="E16" s="15" t="n">
        <v>0.929428</v>
      </c>
      <c r="F16" s="16" t="n">
        <v>0.0001745045576253579</v>
      </c>
      <c r="G16" s="17" t="n">
        <v>0.004905259999601348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33" t="n"/>
      <c r="B17" s="21" t="inlineStr">
        <is>
          <t>쎄트렉아이</t>
        </is>
      </c>
      <c r="C17" s="22" t="inlineStr">
        <is>
          <t>099320</t>
        </is>
      </c>
      <c r="D17" s="23" t="n">
        <v>72200</v>
      </c>
      <c r="E17" s="24" t="n">
        <v>0.790682</v>
      </c>
      <c r="F17" s="25" t="n">
        <v>0.0001484543317312726</v>
      </c>
      <c r="G17" s="26" t="n">
        <v>0.01529847827089492</v>
      </c>
      <c r="H17" s="22" t="inlineStr">
        <is>
          <t>가능</t>
        </is>
      </c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</row>
    <row r="19" ht="22" customHeight="1">
      <c r="A19" s="28" t="inlineStr">
        <is>
          <t>선정 결과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</row>
    <row r="20" ht="19" customHeight="1">
      <c r="A20" s="4" t="inlineStr">
        <is>
          <t>Top 1</t>
        </is>
      </c>
      <c r="B20" s="8" t="n"/>
      <c r="C20" s="29" t="inlineStr">
        <is>
          <t>선정 근거 (컨센서스와의 차이 중심, 2줄)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Top 2</t>
        </is>
      </c>
      <c r="B21" s="8" t="n"/>
      <c r="C21" s="5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Top 3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1</t>
        </is>
      </c>
      <c r="B23" s="8" t="n"/>
      <c r="C23" s="29" t="inlineStr">
        <is>
          <t>탈락 사유 (해당 지표와 수치를 명시)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4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30" t="inlineStr">
        <is>
          <t>탈락 5</t>
        </is>
      </c>
      <c r="B27" s="31" t="n"/>
      <c r="C27" s="27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</row>
  </sheetData>
  <mergeCells count="15">
    <mergeCell ref="C21:Q21"/>
    <mergeCell ref="E4:F4"/>
    <mergeCell ref="C20:Q20"/>
    <mergeCell ref="C25:Q25"/>
    <mergeCell ref="C24:Q24"/>
    <mergeCell ref="B5:C5"/>
    <mergeCell ref="C27:Q27"/>
    <mergeCell ref="C26:Q26"/>
    <mergeCell ref="E5:F5"/>
    <mergeCell ref="K5:L5"/>
    <mergeCell ref="H5:I5"/>
    <mergeCell ref="C23:Q23"/>
    <mergeCell ref="H4:I4"/>
    <mergeCell ref="C22:Q22"/>
    <mergeCell ref="B4:C4"/>
  </mergeCells>
  <dataValidations count="1">
    <dataValidation sqref="Q10:Q1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소재·에너지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3.66%</t>
        </is>
      </c>
      <c r="C5" s="9" t="n"/>
      <c r="D5" s="4" t="inlineStr">
        <is>
          <t>배정액</t>
        </is>
      </c>
      <c r="E5" s="8" t="inlineStr">
        <is>
          <t>1,024,046원</t>
        </is>
      </c>
      <c r="F5" s="9" t="n"/>
      <c r="G5" s="4" t="inlineStr">
        <is>
          <t>종목 수</t>
        </is>
      </c>
      <c r="H5" s="8" t="inlineStr">
        <is>
          <t>27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27종목. 철강·화학·비철금속과 정유·상사·해운을 함께 본다. 공통 동인은 원자재 가격과 스프레드다.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POSCO홀딩스</t>
        </is>
      </c>
      <c r="C11" s="13" t="inlineStr">
        <is>
          <t>005490</t>
        </is>
      </c>
      <c r="D11" s="14" t="n">
        <v>332000</v>
      </c>
      <c r="E11" s="15" t="n">
        <v>26.308187</v>
      </c>
      <c r="F11" s="16" t="n">
        <v>0.004939488087684244</v>
      </c>
      <c r="G11" s="17" t="n">
        <v>0.07034757321242538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SK이노베이션</t>
        </is>
      </c>
      <c r="C12" s="13" t="inlineStr">
        <is>
          <t>096770</t>
        </is>
      </c>
      <c r="D12" s="14" t="n">
        <v>141700</v>
      </c>
      <c r="E12" s="15" t="n">
        <v>23.95478</v>
      </c>
      <c r="F12" s="16" t="n">
        <v>0.004497624653994468</v>
      </c>
      <c r="G12" s="17" t="n">
        <v>0.03002485278373698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고려아연</t>
        </is>
      </c>
      <c r="C13" s="13" t="inlineStr">
        <is>
          <t>010130</t>
        </is>
      </c>
      <c r="D13" s="14" t="n">
        <v>1138000</v>
      </c>
      <c r="E13" s="15" t="n">
        <v>23.753439</v>
      </c>
      <c r="F13" s="16" t="n">
        <v>0.004459821917110226</v>
      </c>
      <c r="G13" s="17" t="n">
        <v>0.2411311395052412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HMM</t>
        </is>
      </c>
      <c r="C14" s="13" t="inlineStr">
        <is>
          <t>011200</t>
        </is>
      </c>
      <c r="D14" s="14" t="n">
        <v>20650</v>
      </c>
      <c r="E14" s="15" t="n">
        <v>19.477864</v>
      </c>
      <c r="F14" s="16" t="n">
        <v>0.003657062236996178</v>
      </c>
      <c r="G14" s="17" t="n">
        <v>0.004375534297700555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LG화학</t>
        </is>
      </c>
      <c r="C15" s="13" t="inlineStr">
        <is>
          <t>051910</t>
        </is>
      </c>
      <c r="D15" s="14" t="n">
        <v>271500</v>
      </c>
      <c r="E15" s="15" t="n">
        <v>19.165821</v>
      </c>
      <c r="F15" s="16" t="n">
        <v>0.003598474669508337</v>
      </c>
      <c r="G15" s="17" t="n">
        <v>0.05752821122642618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S-Oil</t>
        </is>
      </c>
      <c r="C16" s="13" t="inlineStr">
        <is>
          <t>010950</t>
        </is>
      </c>
      <c r="D16" s="14" t="n">
        <v>148700</v>
      </c>
      <c r="E16" s="15" t="n">
        <v>16.741061</v>
      </c>
      <c r="F16" s="16" t="n">
        <v>0.003143214368390162</v>
      </c>
      <c r="G16" s="17" t="n">
        <v>0.0315080847490592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대한항공</t>
        </is>
      </c>
      <c r="C17" s="13" t="inlineStr">
        <is>
          <t>003490</t>
        </is>
      </c>
      <c r="D17" s="14" t="n">
        <v>29350</v>
      </c>
      <c r="E17" s="15" t="n">
        <v>10.807275</v>
      </c>
      <c r="F17" s="16" t="n">
        <v>0.0020291176325768</v>
      </c>
      <c r="G17" s="17" t="n">
        <v>0.006218979740315316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포스코인터내셔널</t>
        </is>
      </c>
      <c r="C18" s="13" t="inlineStr">
        <is>
          <t>047050</t>
        </is>
      </c>
      <c r="D18" s="14" t="n">
        <v>54900</v>
      </c>
      <c r="E18" s="15" t="n">
        <v>9.658161</v>
      </c>
      <c r="F18" s="16" t="n">
        <v>0.001813365976470995</v>
      </c>
      <c r="G18" s="17" t="n">
        <v>0.01163277641374143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한화솔루션</t>
        </is>
      </c>
      <c r="C19" s="13" t="inlineStr">
        <is>
          <t>009830</t>
        </is>
      </c>
      <c r="D19" s="14" t="n">
        <v>28550</v>
      </c>
      <c r="E19" s="15" t="n">
        <v>6.420682</v>
      </c>
      <c r="F19" s="16" t="n">
        <v>0.001205513791345966</v>
      </c>
      <c r="G19" s="17" t="n">
        <v>0.006049467515707062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현대제철</t>
        </is>
      </c>
      <c r="C20" s="13" t="inlineStr">
        <is>
          <t>004020</t>
        </is>
      </c>
      <c r="D20" s="14" t="n">
        <v>35150</v>
      </c>
      <c r="E20" s="15" t="n">
        <v>4.690619</v>
      </c>
      <c r="F20" s="16" t="n">
        <v>0.0008806861785787587</v>
      </c>
      <c r="G20" s="17" t="n">
        <v>0.007447943368725157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SKC</t>
        </is>
      </c>
      <c r="C21" s="13" t="inlineStr">
        <is>
          <t>011790</t>
        </is>
      </c>
      <c r="D21" s="14" t="n">
        <v>87300</v>
      </c>
      <c r="E21" s="15" t="n">
        <v>4.329931</v>
      </c>
      <c r="F21" s="16" t="n">
        <v>0.000812965279401227</v>
      </c>
      <c r="G21" s="17" t="n">
        <v>0.01849802151037571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OCI홀딩스</t>
        </is>
      </c>
      <c r="C22" s="13" t="inlineStr">
        <is>
          <t>010060</t>
        </is>
      </c>
      <c r="D22" s="14" t="n">
        <v>203500</v>
      </c>
      <c r="E22" s="15" t="n">
        <v>3.799392</v>
      </c>
      <c r="F22" s="16" t="n">
        <v>0.00071335404163133</v>
      </c>
      <c r="G22" s="17" t="n">
        <v>0.0431196721347246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금호석유화학</t>
        </is>
      </c>
      <c r="C23" s="13" t="inlineStr">
        <is>
          <t>011780</t>
        </is>
      </c>
      <c r="D23" s="14" t="n">
        <v>122600</v>
      </c>
      <c r="E23" s="15" t="n">
        <v>3.084288</v>
      </c>
      <c r="F23" s="16" t="n">
        <v>0.000579089841310139</v>
      </c>
      <c r="G23" s="17" t="n">
        <v>0.02597774842121492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팬오션</t>
        </is>
      </c>
      <c r="C24" s="13" t="inlineStr">
        <is>
          <t>028670</t>
        </is>
      </c>
      <c r="D24" s="14" t="n">
        <v>5680</v>
      </c>
      <c r="E24" s="15" t="n">
        <v>3.036355</v>
      </c>
      <c r="F24" s="16" t="n">
        <v>0.0005700901910299061</v>
      </c>
      <c r="G24" s="17" t="n">
        <v>0.001203536794718603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롯데케미칼</t>
        </is>
      </c>
      <c r="C25" s="13" t="inlineStr">
        <is>
          <t>011170</t>
        </is>
      </c>
      <c r="D25" s="14" t="n">
        <v>64400</v>
      </c>
      <c r="E25" s="15" t="n">
        <v>2.754737</v>
      </c>
      <c r="F25" s="16" t="n">
        <v>0.000517215062984121</v>
      </c>
      <c r="G25" s="17" t="n">
        <v>0.01364573408096444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SK가스</t>
        </is>
      </c>
      <c r="C26" s="13" t="inlineStr">
        <is>
          <t>018670</t>
        </is>
      </c>
      <c r="D26" s="14" t="n">
        <v>240000</v>
      </c>
      <c r="E26" s="15" t="n">
        <v>2.224619</v>
      </c>
      <c r="F26" s="16" t="n">
        <v>0.0004176828699802094</v>
      </c>
      <c r="G26" s="17" t="n">
        <v>0.05085366738247618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이수스페셜티케미컬</t>
        </is>
      </c>
      <c r="C27" s="13" t="inlineStr">
        <is>
          <t>457190</t>
        </is>
      </c>
      <c r="D27" s="14" t="n">
        <v>65000</v>
      </c>
      <c r="E27" s="15" t="n">
        <v>1.964227</v>
      </c>
      <c r="F27" s="16" t="n">
        <v>0.0003687930250764813</v>
      </c>
      <c r="G27" s="17" t="n">
        <v>0.01377286824942063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CJ대한통운</t>
        </is>
      </c>
      <c r="C28" s="13" t="inlineStr">
        <is>
          <t>000120</t>
        </is>
      </c>
      <c r="D28" s="14" t="n">
        <v>71700</v>
      </c>
      <c r="E28" s="15" t="n">
        <v>1.635645</v>
      </c>
      <c r="F28" s="16" t="n">
        <v>0.0003071001811405816</v>
      </c>
      <c r="G28" s="17" t="n">
        <v>0.01519253313051476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동원산업</t>
        </is>
      </c>
      <c r="C29" s="13" t="inlineStr">
        <is>
          <t>006040</t>
        </is>
      </c>
      <c r="D29" s="14" t="n">
        <v>36650</v>
      </c>
      <c r="E29" s="15" t="n">
        <v>1.617761</v>
      </c>
      <c r="F29" s="16" t="n">
        <v>0.000303742374501905</v>
      </c>
      <c r="G29" s="17" t="n">
        <v>0.007765778789865634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코오롱인더</t>
        </is>
      </c>
      <c r="C30" s="13" t="inlineStr">
        <is>
          <t>120110</t>
        </is>
      </c>
      <c r="D30" s="14" t="n">
        <v>53700</v>
      </c>
      <c r="E30" s="15" t="n">
        <v>1.608102</v>
      </c>
      <c r="F30" s="16" t="n">
        <v>0.0003019288509991665</v>
      </c>
      <c r="G30" s="17" t="n">
        <v>0.01137850807682905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세아베스틸지주</t>
        </is>
      </c>
      <c r="C31" s="13" t="inlineStr">
        <is>
          <t>001430</t>
        </is>
      </c>
      <c r="D31" s="14" t="n">
        <v>43250</v>
      </c>
      <c r="E31" s="15" t="n">
        <v>1.551037</v>
      </c>
      <c r="F31" s="16" t="n">
        <v>0.0002912146239897681</v>
      </c>
      <c r="G31" s="17" t="n">
        <v>0.009164254642883729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효성티앤씨</t>
        </is>
      </c>
      <c r="C32" s="13" t="inlineStr">
        <is>
          <t>298020</t>
        </is>
      </c>
      <c r="D32" s="14" t="n">
        <v>325000</v>
      </c>
      <c r="E32" s="15" t="n">
        <v>1.406497</v>
      </c>
      <c r="F32" s="16" t="n">
        <v>0.0002640765468507437</v>
      </c>
      <c r="G32" s="17" t="n">
        <v>0.06886434124710317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롯데정밀화학</t>
        </is>
      </c>
      <c r="C33" s="13" t="inlineStr">
        <is>
          <t>004000</t>
        </is>
      </c>
      <c r="D33" s="14" t="n">
        <v>45400</v>
      </c>
      <c r="E33" s="15" t="n">
        <v>1.17132</v>
      </c>
      <c r="F33" s="16" t="n">
        <v>0.0002199209389406541</v>
      </c>
      <c r="G33" s="17" t="n">
        <v>0.009619818746518412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태광산업</t>
        </is>
      </c>
      <c r="C34" s="13" t="inlineStr">
        <is>
          <t>003240</t>
        </is>
      </c>
      <c r="D34" s="14" t="n">
        <v>907000</v>
      </c>
      <c r="E34" s="15" t="n">
        <v>1.009854</v>
      </c>
      <c r="F34" s="16" t="n">
        <v>0.0001896049242503972</v>
      </c>
      <c r="G34" s="17" t="n">
        <v>0.1921844846496079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SK케미칼</t>
        </is>
      </c>
      <c r="C35" s="13" t="inlineStr">
        <is>
          <t>285130</t>
        </is>
      </c>
      <c r="D35" s="14" t="n">
        <v>54200</v>
      </c>
      <c r="E35" s="15" t="n">
        <v>0.937593</v>
      </c>
      <c r="F35" s="16" t="n">
        <v>0.0001760375754739821</v>
      </c>
      <c r="G35" s="17" t="n">
        <v>0.0114844532172092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영풍</t>
        </is>
      </c>
      <c r="C36" s="13" t="inlineStr">
        <is>
          <t>000670</t>
        </is>
      </c>
      <c r="D36" s="14" t="n">
        <v>50500</v>
      </c>
      <c r="E36" s="15" t="n">
        <v>0.929739</v>
      </c>
      <c r="F36" s="16" t="n">
        <v>0.0001745629493646012</v>
      </c>
      <c r="G36" s="17" t="n">
        <v>0.01070045917839603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20" t="n"/>
      <c r="B37" s="21" t="inlineStr">
        <is>
          <t>HS효성첨단소재</t>
        </is>
      </c>
      <c r="C37" s="22" t="inlineStr">
        <is>
          <t>298050</t>
        </is>
      </c>
      <c r="D37" s="23" t="n">
        <v>168000</v>
      </c>
      <c r="E37" s="24" t="n">
        <v>0.752631</v>
      </c>
      <c r="F37" s="25" t="n">
        <v>0.0001413100742716281</v>
      </c>
      <c r="G37" s="26" t="n">
        <v>0.03559756716773332</v>
      </c>
      <c r="H37" s="22" t="inlineStr">
        <is>
          <t>가능</t>
        </is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9" ht="22" customHeight="1">
      <c r="A39" s="28" t="inlineStr">
        <is>
          <t>선정 결과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</row>
    <row r="40" ht="19" customHeight="1">
      <c r="A40" s="4" t="inlineStr">
        <is>
          <t>Top 1</t>
        </is>
      </c>
      <c r="B40" s="8" t="n"/>
      <c r="C40" s="29" t="inlineStr">
        <is>
          <t>선정 근거 (컨센서스와의 차이 중심, 2줄)</t>
        </is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9" customHeight="1">
      <c r="A41" s="4" t="inlineStr">
        <is>
          <t>Top 2</t>
        </is>
      </c>
      <c r="B41" s="8" t="n"/>
      <c r="C41" s="5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9" customHeight="1">
      <c r="A42" s="4" t="inlineStr">
        <is>
          <t>Top 3</t>
        </is>
      </c>
      <c r="B42" s="8" t="n"/>
      <c r="C42" s="5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19" customHeight="1">
      <c r="A43" s="4" t="inlineStr">
        <is>
          <t>탈락 1</t>
        </is>
      </c>
      <c r="B43" s="8" t="n"/>
      <c r="C43" s="29" t="inlineStr">
        <is>
          <t>탈락 사유 (해당 지표와 수치를 명시)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 ht="19" customHeight="1">
      <c r="A44" s="4" t="inlineStr">
        <is>
          <t>탈락 2</t>
        </is>
      </c>
      <c r="B44" s="8" t="n"/>
      <c r="C44" s="5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19" customHeight="1">
      <c r="A45" s="4" t="inlineStr">
        <is>
          <t>탈락 3</t>
        </is>
      </c>
      <c r="B45" s="8" t="n"/>
      <c r="C45" s="5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 ht="19" customHeight="1">
      <c r="A46" s="4" t="inlineStr">
        <is>
          <t>탈락 4</t>
        </is>
      </c>
      <c r="B46" s="8" t="n"/>
      <c r="C46" s="5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19" customHeight="1">
      <c r="A47" s="30" t="inlineStr">
        <is>
          <t>탈락 5</t>
        </is>
      </c>
      <c r="B47" s="31" t="n"/>
      <c r="C47" s="27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</row>
  </sheetData>
  <mergeCells count="16">
    <mergeCell ref="E4:F4"/>
    <mergeCell ref="C43:Q43"/>
    <mergeCell ref="C46:Q46"/>
    <mergeCell ref="C47:Q47"/>
    <mergeCell ref="C42:Q42"/>
    <mergeCell ref="B5:C5"/>
    <mergeCell ref="A7:Q7"/>
    <mergeCell ref="C44:Q44"/>
    <mergeCell ref="C41:Q41"/>
    <mergeCell ref="E5:F5"/>
    <mergeCell ref="K5:L5"/>
    <mergeCell ref="H5:I5"/>
    <mergeCell ref="C45:Q45"/>
    <mergeCell ref="H4:I4"/>
    <mergeCell ref="C40:Q40"/>
    <mergeCell ref="B4:C4"/>
  </mergeCells>
  <dataValidations count="1">
    <dataValidation sqref="Q11:Q3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산업재·인프라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2.21%</t>
        </is>
      </c>
      <c r="C5" s="9" t="n"/>
      <c r="D5" s="4" t="inlineStr">
        <is>
          <t>배정액</t>
        </is>
      </c>
      <c r="E5" s="8" t="inlineStr">
        <is>
          <t>619,953원</t>
        </is>
      </c>
      <c r="F5" s="9" t="n"/>
      <c r="G5" s="4" t="inlineStr">
        <is>
          <t>종목 수</t>
        </is>
      </c>
      <c r="H5" s="8" t="inlineStr">
        <is>
          <t>10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순수지주만 모았다. 자회사와 중복 노출을 확인한다. 두산 ↔ 두산에너빌리티, LS ↔ LS ELECTRIC, HD현대 ↔ HD현대중공업·HD현대일렉트릭, 한화 ↔ 한화에어로스페이스.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SK</t>
        </is>
      </c>
      <c r="C11" s="13" t="inlineStr">
        <is>
          <t>034730</t>
        </is>
      </c>
      <c r="D11" s="14" t="n">
        <v>550000</v>
      </c>
      <c r="E11" s="15" t="n">
        <v>39.876487</v>
      </c>
      <c r="F11" s="16" t="n">
        <v>0.007487001385355655</v>
      </c>
      <c r="G11" s="17" t="n">
        <v>0.1165396544181746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두산</t>
        </is>
      </c>
      <c r="C12" s="13" t="inlineStr">
        <is>
          <t>000150</t>
        </is>
      </c>
      <c r="D12" s="14" t="n">
        <v>1289000</v>
      </c>
      <c r="E12" s="15" t="n">
        <v>20.873853</v>
      </c>
      <c r="F12" s="16" t="n">
        <v>0.003919165856528693</v>
      </c>
      <c r="G12" s="17" t="n">
        <v>0.2731265719000492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HD현대</t>
        </is>
      </c>
      <c r="C13" s="13" t="inlineStr">
        <is>
          <t>267250</t>
        </is>
      </c>
      <c r="D13" s="14" t="n">
        <v>225000</v>
      </c>
      <c r="E13" s="15" t="n">
        <v>17.773444</v>
      </c>
      <c r="F13" s="16" t="n">
        <v>0.003337049220272115</v>
      </c>
      <c r="G13" s="17" t="n">
        <v>0.04767531317107142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GS</t>
        </is>
      </c>
      <c r="C14" s="13" t="inlineStr">
        <is>
          <t>078930</t>
        </is>
      </c>
      <c r="D14" s="14" t="n">
        <v>115100</v>
      </c>
      <c r="E14" s="15" t="n">
        <v>10.692271</v>
      </c>
      <c r="F14" s="16" t="n">
        <v>0.002007525080872798</v>
      </c>
      <c r="G14" s="17" t="n">
        <v>0.02438857131551253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LS</t>
        </is>
      </c>
      <c r="C15" s="13" t="inlineStr">
        <is>
          <t>006260</t>
        </is>
      </c>
      <c r="D15" s="14" t="n">
        <v>303500</v>
      </c>
      <c r="E15" s="15" t="n">
        <v>9.469200000000001</v>
      </c>
      <c r="F15" s="16" t="n">
        <v>0.001777887643869175</v>
      </c>
      <c r="G15" s="17" t="n">
        <v>0.06430870021075634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한진칼</t>
        </is>
      </c>
      <c r="C16" s="13" t="inlineStr">
        <is>
          <t>180640</t>
        </is>
      </c>
      <c r="D16" s="14" t="n">
        <v>138100</v>
      </c>
      <c r="E16" s="15" t="n">
        <v>9.21987</v>
      </c>
      <c r="F16" s="16" t="n">
        <v>0.00173107474243654</v>
      </c>
      <c r="G16" s="17" t="n">
        <v>0.02926204777299984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한화</t>
        </is>
      </c>
      <c r="C17" s="13" t="inlineStr">
        <is>
          <t>000880</t>
        </is>
      </c>
      <c r="D17" s="14" t="n">
        <v>137100</v>
      </c>
      <c r="E17" s="15" t="n">
        <v>7.311392</v>
      </c>
      <c r="F17" s="16" t="n">
        <v>0.001372748859067707</v>
      </c>
      <c r="G17" s="17" t="n">
        <v>0.02905015749223952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DL</t>
        </is>
      </c>
      <c r="C18" s="13" t="inlineStr">
        <is>
          <t>000210</t>
        </is>
      </c>
      <c r="D18" s="14" t="n">
        <v>53500</v>
      </c>
      <c r="E18" s="15" t="n">
        <v>1.12114</v>
      </c>
      <c r="F18" s="16" t="n">
        <v>0.0002104994036505181</v>
      </c>
      <c r="G18" s="17" t="n">
        <v>0.01133613002067698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SK디스커버리</t>
        </is>
      </c>
      <c r="C19" s="13" t="inlineStr">
        <is>
          <t>006120</t>
        </is>
      </c>
      <c r="D19" s="14" t="n">
        <v>56900</v>
      </c>
      <c r="E19" s="15" t="n">
        <v>0.990842</v>
      </c>
      <c r="F19" s="16" t="n">
        <v>0.0001860353302102206</v>
      </c>
      <c r="G19" s="17" t="n">
        <v>0.01205655697526206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33" t="n"/>
      <c r="B20" s="21" t="inlineStr">
        <is>
          <t>한화머시너리앤서비스홀딩스</t>
        </is>
      </c>
      <c r="C20" s="22" t="inlineStr">
        <is>
          <t>0220W0</t>
        </is>
      </c>
      <c r="D20" s="23" t="n">
        <v>7070</v>
      </c>
      <c r="E20" s="24" t="n">
        <v>0.597525</v>
      </c>
      <c r="F20" s="25" t="n">
        <v>0.0001121881800366376</v>
      </c>
      <c r="G20" s="26" t="n">
        <v>0.001498064284975444</v>
      </c>
      <c r="H20" s="22" t="inlineStr">
        <is>
          <t>가능</t>
        </is>
      </c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</row>
    <row r="22" ht="22" customHeight="1">
      <c r="A22" s="28" t="inlineStr">
        <is>
          <t>선정 결과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</row>
    <row r="23" ht="19" customHeight="1">
      <c r="A23" s="4" t="inlineStr">
        <is>
          <t>Top 1</t>
        </is>
      </c>
      <c r="B23" s="8" t="n"/>
      <c r="C23" s="29" t="inlineStr">
        <is>
          <t>선정 근거 (컨센서스와의 차이 중심, 2줄)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Top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1</t>
        </is>
      </c>
      <c r="B26" s="8" t="n"/>
      <c r="C26" s="29" t="inlineStr">
        <is>
          <t>탈락 사유 (해당 지표와 수치를 명시)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4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30" t="inlineStr">
        <is>
          <t>탈락 5</t>
        </is>
      </c>
      <c r="B30" s="31" t="n"/>
      <c r="C30" s="27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</row>
  </sheetData>
  <mergeCells count="16">
    <mergeCell ref="C29:Q29"/>
    <mergeCell ref="C30:Q30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23:Q23"/>
    <mergeCell ref="H4:I4"/>
    <mergeCell ref="B4:C4"/>
  </mergeCells>
  <dataValidations count="1">
    <dataValidation sqref="Q11:Q20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헬스케어·바이오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3.87%</t>
        </is>
      </c>
      <c r="C5" s="9" t="n"/>
      <c r="D5" s="4" t="inlineStr">
        <is>
          <t>배정액</t>
        </is>
      </c>
      <c r="E5" s="8" t="inlineStr">
        <is>
          <t>1,083,543원</t>
        </is>
      </c>
      <c r="F5" s="9" t="n"/>
      <c r="G5" s="4" t="inlineStr">
        <is>
          <t>종목 수</t>
        </is>
      </c>
      <c r="H5" s="8" t="inlineStr">
        <is>
          <t>42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42종목 중 다수가 매출 미발생 임상 단계 기업이다. 매출·영업이익률·PER 산출이 불가능한 기업은 하위 테마에 「파이프라인」으로 표기한다.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삼성바이오로직스</t>
        </is>
      </c>
      <c r="C11" s="13" t="inlineStr">
        <is>
          <t>207940</t>
        </is>
      </c>
      <c r="D11" s="14" t="n">
        <v>1412000</v>
      </c>
      <c r="E11" s="15" t="n">
        <v>65.36282300000001</v>
      </c>
      <c r="F11" s="16" t="n">
        <v>0.01227218301230388</v>
      </c>
      <c r="G11" s="17" t="n">
        <v>0.3210636020502274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셀트리온</t>
        </is>
      </c>
      <c r="C12" s="13" t="inlineStr">
        <is>
          <t>068270</t>
        </is>
      </c>
      <c r="D12" s="14" t="n">
        <v>177500</v>
      </c>
      <c r="E12" s="15" t="n">
        <v>41.289549</v>
      </c>
      <c r="F12" s="16" t="n">
        <v>0.00775231054239332</v>
      </c>
      <c r="G12" s="17" t="n">
        <v>0.04036033241070493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알테오젠</t>
        </is>
      </c>
      <c r="C13" s="13" t="inlineStr">
        <is>
          <t>196170</t>
        </is>
      </c>
      <c r="D13" s="14" t="n">
        <v>260000</v>
      </c>
      <c r="E13" s="15" t="n">
        <v>18.110335</v>
      </c>
      <c r="F13" s="16" t="n">
        <v>0.003400302118746193</v>
      </c>
      <c r="G13" s="17" t="n">
        <v>0.05911936015089173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한미약품</t>
        </is>
      </c>
      <c r="C14" s="13" t="inlineStr">
        <is>
          <t>128940</t>
        </is>
      </c>
      <c r="D14" s="14" t="n">
        <v>496500</v>
      </c>
      <c r="E14" s="15" t="n">
        <v>6.360657</v>
      </c>
      <c r="F14" s="16" t="n">
        <v>0.001194243810162418</v>
      </c>
      <c r="G14" s="17" t="n">
        <v>0.1128952396727606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SK바이오팜</t>
        </is>
      </c>
      <c r="C15" s="13" t="inlineStr">
        <is>
          <t>326030</t>
        </is>
      </c>
      <c r="D15" s="14" t="n">
        <v>78100</v>
      </c>
      <c r="E15" s="15" t="n">
        <v>6.116265</v>
      </c>
      <c r="F15" s="16" t="n">
        <v>0.001148358041875712</v>
      </c>
      <c r="G15" s="17" t="n">
        <v>0.01775854626071017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유한양행</t>
        </is>
      </c>
      <c r="C16" s="13" t="inlineStr">
        <is>
          <t>000100</t>
        </is>
      </c>
      <c r="D16" s="14" t="n">
        <v>79300</v>
      </c>
      <c r="E16" s="15" t="n">
        <v>5.837731</v>
      </c>
      <c r="F16" s="16" t="n">
        <v>0.001096061949597858</v>
      </c>
      <c r="G16" s="17" t="n">
        <v>0.01803140484602198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HLB</t>
        </is>
      </c>
      <c r="C17" s="13" t="inlineStr">
        <is>
          <t>028300</t>
        </is>
      </c>
      <c r="D17" s="14" t="n">
        <v>32450</v>
      </c>
      <c r="E17" s="15" t="n">
        <v>4.322282</v>
      </c>
      <c r="F17" s="16" t="n">
        <v>0.0008115291430235017</v>
      </c>
      <c r="G17" s="17" t="n">
        <v>0.007378550911140141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삼천당제약</t>
        </is>
      </c>
      <c r="C18" s="13" t="inlineStr">
        <is>
          <t>000250</t>
        </is>
      </c>
      <c r="D18" s="14" t="n">
        <v>157500</v>
      </c>
      <c r="E18" s="15" t="n">
        <v>3.694552</v>
      </c>
      <c r="F18" s="16" t="n">
        <v>0.0006936698295982919</v>
      </c>
      <c r="G18" s="17" t="n">
        <v>0.0358126893221748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펩트론</t>
        </is>
      </c>
      <c r="C19" s="13" t="inlineStr">
        <is>
          <t>087010</t>
        </is>
      </c>
      <c r="D19" s="14" t="n">
        <v>150800</v>
      </c>
      <c r="E19" s="15" t="n">
        <v>3.516256</v>
      </c>
      <c r="F19" s="16" t="n">
        <v>0.0006601939018165048</v>
      </c>
      <c r="G19" s="17" t="n">
        <v>0.0342892288875172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파마리서치</t>
        </is>
      </c>
      <c r="C20" s="13" t="inlineStr">
        <is>
          <t>214450</t>
        </is>
      </c>
      <c r="D20" s="14" t="n">
        <v>337000</v>
      </c>
      <c r="E20" s="15" t="n">
        <v>3.501311</v>
      </c>
      <c r="F20" s="16" t="n">
        <v>0.0006573879065014175</v>
      </c>
      <c r="G20" s="17" t="n">
        <v>0.07662778604173275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에이비엘바이오</t>
        </is>
      </c>
      <c r="C21" s="13" t="inlineStr">
        <is>
          <t>298380</t>
        </is>
      </c>
      <c r="D21" s="14" t="n">
        <v>59300</v>
      </c>
      <c r="E21" s="15" t="n">
        <v>3.320057</v>
      </c>
      <c r="F21" s="16" t="n">
        <v>0.0006233566000550584</v>
      </c>
      <c r="G21" s="17" t="n">
        <v>0.01348376175749185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리가켐바이오</t>
        </is>
      </c>
      <c r="C22" s="13" t="inlineStr">
        <is>
          <t>141080</t>
        </is>
      </c>
      <c r="D22" s="14" t="n">
        <v>83700</v>
      </c>
      <c r="E22" s="15" t="n">
        <v>3.098525</v>
      </c>
      <c r="F22" s="16" t="n">
        <v>0.000581762906234923</v>
      </c>
      <c r="G22" s="17" t="n">
        <v>0.01903188632549861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휴젤</t>
        </is>
      </c>
      <c r="C23" s="13" t="inlineStr">
        <is>
          <t>145020</t>
        </is>
      </c>
      <c r="D23" s="14" t="n">
        <v>235500</v>
      </c>
      <c r="E23" s="15" t="n">
        <v>2.947323</v>
      </c>
      <c r="F23" s="16" t="n">
        <v>0.000553374006694486</v>
      </c>
      <c r="G23" s="17" t="n">
        <v>0.05354849736744232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SK바이오사이언스</t>
        </is>
      </c>
      <c r="C24" s="13" t="inlineStr">
        <is>
          <t>302440</t>
        </is>
      </c>
      <c r="D24" s="14" t="n">
        <v>36750</v>
      </c>
      <c r="E24" s="15" t="n">
        <v>2.883278</v>
      </c>
      <c r="F24" s="16" t="n">
        <v>0.0005413492512609117</v>
      </c>
      <c r="G24" s="17" t="n">
        <v>0.00835629417517412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보로노이</t>
        </is>
      </c>
      <c r="C25" s="13" t="inlineStr">
        <is>
          <t>310210</t>
        </is>
      </c>
      <c r="D25" s="14" t="n">
        <v>141500</v>
      </c>
      <c r="E25" s="15" t="n">
        <v>2.621082</v>
      </c>
      <c r="F25" s="16" t="n">
        <v>0.0004921206967186144</v>
      </c>
      <c r="G25" s="17" t="n">
        <v>0.0321745748513507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한올바이오파마</t>
        </is>
      </c>
      <c r="C26" s="13" t="inlineStr">
        <is>
          <t>009420</t>
        </is>
      </c>
      <c r="D26" s="14" t="n">
        <v>48600</v>
      </c>
      <c r="E26" s="15" t="n">
        <v>2.538895</v>
      </c>
      <c r="F26" s="16" t="n">
        <v>0.0004766896939109141</v>
      </c>
      <c r="G26" s="17" t="n">
        <v>0.01105077270512822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올릭스</t>
        </is>
      </c>
      <c r="C27" s="13" t="inlineStr">
        <is>
          <t>226950</t>
        </is>
      </c>
      <c r="D27" s="14" t="n">
        <v>108300</v>
      </c>
      <c r="E27" s="15" t="n">
        <v>2.463883</v>
      </c>
      <c r="F27" s="16" t="n">
        <v>0.0004626058317111597</v>
      </c>
      <c r="G27" s="17" t="n">
        <v>0.02462548732439067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케어젠</t>
        </is>
      </c>
      <c r="C28" s="13" t="inlineStr">
        <is>
          <t>214370</t>
        </is>
      </c>
      <c r="D28" s="14" t="n">
        <v>41350</v>
      </c>
      <c r="E28" s="15" t="n">
        <v>2.221115</v>
      </c>
      <c r="F28" s="16" t="n">
        <v>0.0004170249772010816</v>
      </c>
      <c r="G28" s="17" t="n">
        <v>0.00940225208553605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디앤디파마텍</t>
        </is>
      </c>
      <c r="C29" s="13" t="inlineStr">
        <is>
          <t>347850</t>
        </is>
      </c>
      <c r="D29" s="14" t="n">
        <v>46650</v>
      </c>
      <c r="E29" s="15" t="n">
        <v>2.138324</v>
      </c>
      <c r="F29" s="16" t="n">
        <v>0.0004014805705010886</v>
      </c>
      <c r="G29" s="17" t="n">
        <v>0.01060737750399654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클래시스</t>
        </is>
      </c>
      <c r="C30" s="13" t="inlineStr">
        <is>
          <t>214150</t>
        </is>
      </c>
      <c r="D30" s="14" t="n">
        <v>31600</v>
      </c>
      <c r="E30" s="15" t="n">
        <v>2.061447</v>
      </c>
      <c r="F30" s="16" t="n">
        <v>0.0003870465456206626</v>
      </c>
      <c r="G30" s="17" t="n">
        <v>0.007185276079877611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에스티팜</t>
        </is>
      </c>
      <c r="C31" s="13" t="inlineStr">
        <is>
          <t>237690</t>
        </is>
      </c>
      <c r="D31" s="14" t="n">
        <v>89500</v>
      </c>
      <c r="E31" s="15" t="n">
        <v>1.868459</v>
      </c>
      <c r="F31" s="16" t="n">
        <v>0.0003508121244852948</v>
      </c>
      <c r="G31" s="17" t="n">
        <v>0.02035070282117235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셀트리온제약</t>
        </is>
      </c>
      <c r="C32" s="13" t="inlineStr">
        <is>
          <t>068760</t>
        </is>
      </c>
      <c r="D32" s="14" t="n">
        <v>39250</v>
      </c>
      <c r="E32" s="15" t="n">
        <v>1.742792</v>
      </c>
      <c r="F32" s="16" t="n">
        <v>0.0003272175434708366</v>
      </c>
      <c r="G32" s="17" t="n">
        <v>0.008924749561240387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네이처셀</t>
        </is>
      </c>
      <c r="C33" s="13" t="inlineStr">
        <is>
          <t>007390</t>
        </is>
      </c>
      <c r="D33" s="14" t="n">
        <v>24850</v>
      </c>
      <c r="E33" s="15" t="n">
        <v>1.601211</v>
      </c>
      <c r="F33" s="16" t="n">
        <v>0.0003006350327511727</v>
      </c>
      <c r="G33" s="17" t="n">
        <v>0.00565044653749869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씨젠</t>
        </is>
      </c>
      <c r="C34" s="13" t="inlineStr">
        <is>
          <t>096530</t>
        </is>
      </c>
      <c r="D34" s="14" t="n">
        <v>32250</v>
      </c>
      <c r="E34" s="15" t="n">
        <v>1.507184</v>
      </c>
      <c r="F34" s="16" t="n">
        <v>0.0002829810132468759</v>
      </c>
      <c r="G34" s="17" t="n">
        <v>0.00733307448025484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녹십자</t>
        </is>
      </c>
      <c r="C35" s="13" t="inlineStr">
        <is>
          <t>006280</t>
        </is>
      </c>
      <c r="D35" s="14" t="n">
        <v>124900</v>
      </c>
      <c r="E35" s="15" t="n">
        <v>1.459649</v>
      </c>
      <c r="F35" s="16" t="n">
        <v>0.0002740560893724915</v>
      </c>
      <c r="G35" s="17" t="n">
        <v>0.02840003108787068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오스코텍</t>
        </is>
      </c>
      <c r="C36" s="13" t="inlineStr">
        <is>
          <t>039200</t>
        </is>
      </c>
      <c r="D36" s="14" t="n">
        <v>34600</v>
      </c>
      <c r="E36" s="15" t="n">
        <v>1.323733</v>
      </c>
      <c r="F36" s="16" t="n">
        <v>0.000248537209530042</v>
      </c>
      <c r="G36" s="17" t="n">
        <v>0.007867422543157131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1" t="n"/>
      <c r="B37" s="12" t="inlineStr">
        <is>
          <t>대웅제약</t>
        </is>
      </c>
      <c r="C37" s="13" t="inlineStr">
        <is>
          <t>069620</t>
        </is>
      </c>
      <c r="D37" s="14" t="n">
        <v>109800</v>
      </c>
      <c r="E37" s="15" t="n">
        <v>1.272206</v>
      </c>
      <c r="F37" s="16" t="n">
        <v>0.0002388627685397105</v>
      </c>
      <c r="G37" s="17" t="n">
        <v>0.02496656055603043</v>
      </c>
      <c r="H37" s="13" t="inlineStr">
        <is>
          <t>가능</t>
        </is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18" t="n"/>
      <c r="B38" s="12" t="inlineStr">
        <is>
          <t>엘앤씨바이오</t>
        </is>
      </c>
      <c r="C38" s="13" t="inlineStr">
        <is>
          <t>290650</t>
        </is>
      </c>
      <c r="D38" s="14" t="n">
        <v>47150</v>
      </c>
      <c r="E38" s="15" t="n">
        <v>1.271622</v>
      </c>
      <c r="F38" s="16" t="n">
        <v>0.0002387531197431892</v>
      </c>
      <c r="G38" s="17" t="n">
        <v>0.01072106858120979</v>
      </c>
      <c r="H38" s="13" t="inlineStr">
        <is>
          <t>가능</t>
        </is>
      </c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1" t="n"/>
      <c r="B39" s="12" t="inlineStr">
        <is>
          <t>HK이노엔</t>
        </is>
      </c>
      <c r="C39" s="13" t="inlineStr">
        <is>
          <t>195940</t>
        </is>
      </c>
      <c r="D39" s="14" t="n">
        <v>39450</v>
      </c>
      <c r="E39" s="15" t="n">
        <v>1.117614</v>
      </c>
      <c r="F39" s="16" t="n">
        <v>0.0002098373802660419</v>
      </c>
      <c r="G39" s="17" t="n">
        <v>0.008970225992125687</v>
      </c>
      <c r="H39" s="13" t="inlineStr">
        <is>
          <t>가능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18" t="n"/>
      <c r="B40" s="12" t="inlineStr">
        <is>
          <t>오름테라퓨틱</t>
        </is>
      </c>
      <c r="C40" s="13" t="inlineStr">
        <is>
          <t>475830</t>
        </is>
      </c>
      <c r="D40" s="14" t="n">
        <v>50500</v>
      </c>
      <c r="E40" s="15" t="n">
        <v>1.096839</v>
      </c>
      <c r="F40" s="16" t="n">
        <v>0.0002059367745336271</v>
      </c>
      <c r="G40" s="17" t="n">
        <v>0.01148279879853859</v>
      </c>
      <c r="H40" s="13" t="inlineStr">
        <is>
          <t>가능</t>
        </is>
      </c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1" t="n"/>
      <c r="B41" s="12" t="inlineStr">
        <is>
          <t>씨어스</t>
        </is>
      </c>
      <c r="C41" s="13" t="inlineStr">
        <is>
          <t>458870</t>
        </is>
      </c>
      <c r="D41" s="14" t="n">
        <v>23500</v>
      </c>
      <c r="E41" s="15" t="n">
        <v>0.901116</v>
      </c>
      <c r="F41" s="16" t="n">
        <v>0.0001691888440515371</v>
      </c>
      <c r="G41" s="17" t="n">
        <v>0.005343480629022907</v>
      </c>
      <c r="H41" s="13" t="inlineStr">
        <is>
          <t>가능</t>
        </is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18" t="n"/>
      <c r="B42" s="12" t="inlineStr">
        <is>
          <t>큐리옥스바이오시스템즈</t>
        </is>
      </c>
      <c r="C42" s="13" t="inlineStr">
        <is>
          <t>445680</t>
        </is>
      </c>
      <c r="D42" s="14" t="n">
        <v>49100</v>
      </c>
      <c r="E42" s="15" t="n">
        <v>0.8450839999999999</v>
      </c>
      <c r="F42" s="16" t="n">
        <v>0.0001586685677387253</v>
      </c>
      <c r="G42" s="17" t="n">
        <v>0.01116446378234148</v>
      </c>
      <c r="H42" s="13" t="inlineStr">
        <is>
          <t>가능</t>
        </is>
      </c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1" t="n"/>
      <c r="B43" s="12" t="inlineStr">
        <is>
          <t>큐리언트</t>
        </is>
      </c>
      <c r="C43" s="13" t="inlineStr">
        <is>
          <t>115180</t>
        </is>
      </c>
      <c r="D43" s="14" t="n">
        <v>21850</v>
      </c>
      <c r="E43" s="15" t="n">
        <v>0.820121</v>
      </c>
      <c r="F43" s="16" t="n">
        <v>0.0001539816449518049</v>
      </c>
      <c r="G43" s="17" t="n">
        <v>0.004968300074219171</v>
      </c>
      <c r="H43" s="13" t="inlineStr">
        <is>
          <t>가능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18" t="n"/>
      <c r="B44" s="12" t="inlineStr">
        <is>
          <t>차바이오텍</t>
        </is>
      </c>
      <c r="C44" s="13" t="inlineStr">
        <is>
          <t>085660</t>
        </is>
      </c>
      <c r="D44" s="14" t="n">
        <v>7950</v>
      </c>
      <c r="E44" s="15" t="n">
        <v>0.739134</v>
      </c>
      <c r="F44" s="16" t="n">
        <v>0.0001387759478903813</v>
      </c>
      <c r="G44" s="17" t="n">
        <v>0.001807688127690728</v>
      </c>
      <c r="H44" s="13" t="inlineStr">
        <is>
          <t>가능</t>
        </is>
      </c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1" t="n"/>
      <c r="B45" s="12" t="inlineStr">
        <is>
          <t>루닛</t>
        </is>
      </c>
      <c r="C45" s="13" t="inlineStr">
        <is>
          <t>328130</t>
        </is>
      </c>
      <c r="D45" s="14" t="n">
        <v>8530</v>
      </c>
      <c r="E45" s="15" t="n">
        <v>0.635128</v>
      </c>
      <c r="F45" s="16" t="n">
        <v>0.0001192483233510055</v>
      </c>
      <c r="G45" s="17" t="n">
        <v>0.001939569777258102</v>
      </c>
      <c r="H45" s="13" t="inlineStr">
        <is>
          <t>가능</t>
        </is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18" t="n"/>
      <c r="B46" s="12" t="inlineStr">
        <is>
          <t>지아이이노베이션</t>
        </is>
      </c>
      <c r="C46" s="13" t="inlineStr">
        <is>
          <t>358570</t>
        </is>
      </c>
      <c r="D46" s="14" t="n">
        <v>9150</v>
      </c>
      <c r="E46" s="15" t="n">
        <v>0.590321</v>
      </c>
      <c r="F46" s="16" t="n">
        <v>0.0001108355945398233</v>
      </c>
      <c r="G46" s="17" t="n">
        <v>0.002080546713002536</v>
      </c>
      <c r="H46" s="13" t="inlineStr">
        <is>
          <t>가능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1" t="n"/>
      <c r="B47" s="12" t="inlineStr">
        <is>
          <t>지투지바이오</t>
        </is>
      </c>
      <c r="C47" s="13" t="inlineStr">
        <is>
          <t>456160</t>
        </is>
      </c>
      <c r="D47" s="14" t="n">
        <v>34500</v>
      </c>
      <c r="E47" s="15" t="n">
        <v>0.573715</v>
      </c>
      <c r="F47" s="16" t="n">
        <v>0.0001077177385209314</v>
      </c>
      <c r="G47" s="17" t="n">
        <v>0.00784468432771448</v>
      </c>
      <c r="H47" s="13" t="inlineStr">
        <is>
          <t>가능</t>
        </is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18" t="n"/>
      <c r="B48" s="12" t="inlineStr">
        <is>
          <t>로킷헬스케어</t>
        </is>
      </c>
      <c r="C48" s="13" t="inlineStr">
        <is>
          <t>376900</t>
        </is>
      </c>
      <c r="D48" s="14" t="n">
        <v>29900</v>
      </c>
      <c r="E48" s="15" t="n">
        <v>0.5205379999999999</v>
      </c>
      <c r="F48" s="16" t="n">
        <v>9.773350212946947e-05</v>
      </c>
      <c r="G48" s="17" t="n">
        <v>0.00679872641735255</v>
      </c>
      <c r="H48" s="13" t="inlineStr">
        <is>
          <t>가능</t>
        </is>
      </c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>
      <c r="A49" s="11" t="n"/>
      <c r="B49" s="12" t="inlineStr">
        <is>
          <t>에이프릴바이오</t>
        </is>
      </c>
      <c r="C49" s="13" t="inlineStr">
        <is>
          <t>397030</t>
        </is>
      </c>
      <c r="D49" s="14" t="n">
        <v>17180</v>
      </c>
      <c r="E49" s="15" t="n">
        <v>0.47346</v>
      </c>
      <c r="F49" s="16" t="n">
        <v>8.889438219345873e-05</v>
      </c>
      <c r="G49" s="17" t="n">
        <v>0.003906425413047384</v>
      </c>
      <c r="H49" s="13" t="inlineStr">
        <is>
          <t>가능</t>
        </is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18" t="n"/>
      <c r="B50" s="12" t="inlineStr">
        <is>
          <t>일동제약</t>
        </is>
      </c>
      <c r="C50" s="13" t="inlineStr">
        <is>
          <t>249420</t>
        </is>
      </c>
      <c r="D50" s="14" t="n">
        <v>14900</v>
      </c>
      <c r="E50" s="15" t="n">
        <v>0.47141</v>
      </c>
      <c r="F50" s="16" t="n">
        <v>8.850948487690275e-05</v>
      </c>
      <c r="G50" s="17" t="n">
        <v>0.003387994100954949</v>
      </c>
      <c r="H50" s="13" t="inlineStr">
        <is>
          <t>가능</t>
        </is>
      </c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>
      <c r="A51" s="11" t="n"/>
      <c r="B51" s="12" t="inlineStr">
        <is>
          <t>젬백스</t>
        </is>
      </c>
      <c r="C51" s="13" t="inlineStr">
        <is>
          <t>082270</t>
        </is>
      </c>
      <c r="D51" s="14" t="n">
        <v>10370</v>
      </c>
      <c r="E51" s="15" t="n">
        <v>0.459072</v>
      </c>
      <c r="F51" s="16" t="n">
        <v>8.619296629560149e-05</v>
      </c>
      <c r="G51" s="17" t="n">
        <v>0.002357952941402874</v>
      </c>
      <c r="H51" s="13" t="inlineStr">
        <is>
          <t>가능</t>
        </is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33" t="n"/>
      <c r="B52" s="21" t="inlineStr">
        <is>
          <t>앱클론</t>
        </is>
      </c>
      <c r="C52" s="22" t="inlineStr">
        <is>
          <t>174900</t>
        </is>
      </c>
      <c r="D52" s="23" t="n">
        <v>20700</v>
      </c>
      <c r="E52" s="24" t="n">
        <v>0.413009</v>
      </c>
      <c r="F52" s="25" t="n">
        <v>7.754441746998309e-05</v>
      </c>
      <c r="G52" s="26" t="n">
        <v>0.004706810596628688</v>
      </c>
      <c r="H52" s="22" t="inlineStr">
        <is>
          <t>가능</t>
        </is>
      </c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</row>
    <row r="54" ht="22" customHeight="1">
      <c r="A54" s="28" t="inlineStr">
        <is>
          <t>선정 결과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</row>
    <row r="55" ht="19" customHeight="1">
      <c r="A55" s="4" t="inlineStr">
        <is>
          <t>Top 1</t>
        </is>
      </c>
      <c r="B55" s="8" t="n"/>
      <c r="C55" s="29" t="inlineStr">
        <is>
          <t>선정 근거 (컨센서스와의 차이 중심, 2줄)</t>
        </is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19" customHeight="1">
      <c r="A56" s="4" t="inlineStr">
        <is>
          <t>Top 2</t>
        </is>
      </c>
      <c r="B56" s="8" t="n"/>
      <c r="C56" s="5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19" customHeight="1">
      <c r="A57" s="4" t="inlineStr">
        <is>
          <t>Top 3</t>
        </is>
      </c>
      <c r="B57" s="8" t="n"/>
      <c r="C57" s="5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19" customHeight="1">
      <c r="A58" s="4" t="inlineStr">
        <is>
          <t>탈락 1</t>
        </is>
      </c>
      <c r="B58" s="8" t="n"/>
      <c r="C58" s="29" t="inlineStr">
        <is>
          <t>탈락 사유 (해당 지표와 수치를 명시)</t>
        </is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19" customHeight="1">
      <c r="A59" s="4" t="inlineStr">
        <is>
          <t>탈락 2</t>
        </is>
      </c>
      <c r="B59" s="8" t="n"/>
      <c r="C59" s="5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 ht="19" customHeight="1">
      <c r="A60" s="4" t="inlineStr">
        <is>
          <t>탈락 3</t>
        </is>
      </c>
      <c r="B60" s="8" t="n"/>
      <c r="C60" s="5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19" customHeight="1">
      <c r="A61" s="4" t="inlineStr">
        <is>
          <t>탈락 4</t>
        </is>
      </c>
      <c r="B61" s="8" t="n"/>
      <c r="C61" s="5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 ht="19" customHeight="1">
      <c r="A62" s="30" t="inlineStr">
        <is>
          <t>탈락 5</t>
        </is>
      </c>
      <c r="B62" s="31" t="n"/>
      <c r="C62" s="27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</row>
  </sheetData>
  <mergeCells count="16">
    <mergeCell ref="C59:Q59"/>
    <mergeCell ref="E4:F4"/>
    <mergeCell ref="C62:Q62"/>
    <mergeCell ref="C58:Q58"/>
    <mergeCell ref="B5:C5"/>
    <mergeCell ref="C60:Q60"/>
    <mergeCell ref="A7:Q7"/>
    <mergeCell ref="C57:Q57"/>
    <mergeCell ref="E5:F5"/>
    <mergeCell ref="K5:L5"/>
    <mergeCell ref="H5:I5"/>
    <mergeCell ref="C55:Q55"/>
    <mergeCell ref="C61:Q61"/>
    <mergeCell ref="H4:I4"/>
    <mergeCell ref="B4:C4"/>
    <mergeCell ref="C56:Q56"/>
  </mergeCells>
  <dataValidations count="1">
    <dataValidation sqref="Q11:Q5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소비재·유통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2.01%</t>
        </is>
      </c>
      <c r="C5" s="9" t="n"/>
      <c r="D5" s="4" t="inlineStr">
        <is>
          <t>배정액</t>
        </is>
      </c>
      <c r="E5" s="8" t="inlineStr">
        <is>
          <t>561,975원</t>
        </is>
      </c>
      <c r="F5" s="9" t="n"/>
      <c r="G5" s="4" t="inlineStr">
        <is>
          <t>종목 수</t>
        </is>
      </c>
      <c r="H5" s="8" t="inlineStr">
        <is>
          <t>24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KT&amp;G</t>
        </is>
      </c>
      <c r="C10" s="13" t="inlineStr">
        <is>
          <t>033780</t>
        </is>
      </c>
      <c r="D10" s="14" t="n">
        <v>170800</v>
      </c>
      <c r="E10" s="15" t="n">
        <v>17.730826</v>
      </c>
      <c r="F10" s="16" t="n">
        <v>0.003329047486693099</v>
      </c>
      <c r="G10" s="17" t="n">
        <v>0.03883687197604734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에이피알</t>
        </is>
      </c>
      <c r="C11" s="13" t="inlineStr">
        <is>
          <t>278470</t>
        </is>
      </c>
      <c r="D11" s="14" t="n">
        <v>361500</v>
      </c>
      <c r="E11" s="15" t="n">
        <v>13.533893</v>
      </c>
      <c r="F11" s="16" t="n">
        <v>0.002541053218661293</v>
      </c>
      <c r="G11" s="17" t="n">
        <v>0.08219864882518216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삼양식품</t>
        </is>
      </c>
      <c r="C12" s="13" t="inlineStr">
        <is>
          <t>003230</t>
        </is>
      </c>
      <c r="D12" s="14" t="n">
        <v>1277000</v>
      </c>
      <c r="E12" s="15" t="n">
        <v>9.61966</v>
      </c>
      <c r="F12" s="16" t="n">
        <v>0.001806137229356497</v>
      </c>
      <c r="G12" s="17" t="n">
        <v>0.290367011202649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아모레퍼시픽</t>
        </is>
      </c>
      <c r="C13" s="13" t="inlineStr">
        <is>
          <t>090430</t>
        </is>
      </c>
      <c r="D13" s="14" t="n">
        <v>144000</v>
      </c>
      <c r="E13" s="15" t="n">
        <v>8.422957</v>
      </c>
      <c r="F13" s="16" t="n">
        <v>0.001581450510617726</v>
      </c>
      <c r="G13" s="17" t="n">
        <v>0.03274303023741696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코웨이</t>
        </is>
      </c>
      <c r="C14" s="13" t="inlineStr">
        <is>
          <t>021240</t>
        </is>
      </c>
      <c r="D14" s="14" t="n">
        <v>101500</v>
      </c>
      <c r="E14" s="15" t="n">
        <v>7.182894</v>
      </c>
      <c r="F14" s="16" t="n">
        <v>0.001348622744246824</v>
      </c>
      <c r="G14" s="17" t="n">
        <v>0.02307928867429043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오리온</t>
        </is>
      </c>
      <c r="C15" s="13" t="inlineStr">
        <is>
          <t>271560</t>
        </is>
      </c>
      <c r="D15" s="14" t="n">
        <v>116000</v>
      </c>
      <c r="E15" s="15" t="n">
        <v>4.585339</v>
      </c>
      <c r="F15" s="16" t="n">
        <v>0.0008609193544387525</v>
      </c>
      <c r="G15" s="17" t="n">
        <v>0.02637632991347477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LG생활건강</t>
        </is>
      </c>
      <c r="C16" s="13" t="inlineStr">
        <is>
          <t>051900</t>
        </is>
      </c>
      <c r="D16" s="14" t="n">
        <v>302000</v>
      </c>
      <c r="E16" s="15" t="n">
        <v>4.522608</v>
      </c>
      <c r="F16" s="16" t="n">
        <v>0.0008491413087973513</v>
      </c>
      <c r="G16" s="17" t="n">
        <v>0.06866941063680501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신세계</t>
        </is>
      </c>
      <c r="C17" s="13" t="inlineStr">
        <is>
          <t>004170</t>
        </is>
      </c>
      <c r="D17" s="14" t="n">
        <v>368000</v>
      </c>
      <c r="E17" s="15" t="n">
        <v>3.475827</v>
      </c>
      <c r="F17" s="16" t="n">
        <v>0.0006526031634696554</v>
      </c>
      <c r="G17" s="17" t="n">
        <v>0.08367663282895445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한국콜마</t>
        </is>
      </c>
      <c r="C18" s="13" t="inlineStr">
        <is>
          <t>161890</t>
        </is>
      </c>
      <c r="D18" s="14" t="n">
        <v>144500</v>
      </c>
      <c r="E18" s="15" t="n">
        <v>3.410934</v>
      </c>
      <c r="F18" s="16" t="n">
        <v>0.0006404191919753791</v>
      </c>
      <c r="G18" s="17" t="n">
        <v>0.03285672131463022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롯데쇼핑</t>
        </is>
      </c>
      <c r="C19" s="13" t="inlineStr">
        <is>
          <t>023530</t>
        </is>
      </c>
      <c r="D19" s="14" t="n">
        <v>115300</v>
      </c>
      <c r="E19" s="15" t="n">
        <v>3.261693</v>
      </c>
      <c r="F19" s="16" t="n">
        <v>0.0006123984795753157</v>
      </c>
      <c r="G19" s="17" t="n">
        <v>0.02621716240537622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영원무역</t>
        </is>
      </c>
      <c r="C20" s="13" t="inlineStr">
        <is>
          <t>111770</t>
        </is>
      </c>
      <c r="D20" s="14" t="n">
        <v>71900</v>
      </c>
      <c r="E20" s="15" t="n">
        <v>3.185995</v>
      </c>
      <c r="F20" s="16" t="n">
        <v>0.0005981858175906064</v>
      </c>
      <c r="G20" s="17" t="n">
        <v>0.01634877690326583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코스맥스</t>
        </is>
      </c>
      <c r="C21" s="13" t="inlineStr">
        <is>
          <t>192820</t>
        </is>
      </c>
      <c r="D21" s="14" t="n">
        <v>273000</v>
      </c>
      <c r="E21" s="15" t="n">
        <v>3.098416</v>
      </c>
      <c r="F21" s="16" t="n">
        <v>0.0005817424409629696</v>
      </c>
      <c r="G21" s="17" t="n">
        <v>0.06207532815843632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실리콘투</t>
        </is>
      </c>
      <c r="C22" s="13" t="inlineStr">
        <is>
          <t>257720</t>
        </is>
      </c>
      <c r="D22" s="14" t="n">
        <v>43650</v>
      </c>
      <c r="E22" s="15" t="n">
        <v>2.862403</v>
      </c>
      <c r="F22" s="16" t="n">
        <v>0.0005374298700496406</v>
      </c>
      <c r="G22" s="17" t="n">
        <v>0.009925231040717016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CJ제일제당</t>
        </is>
      </c>
      <c r="C23" s="13" t="inlineStr">
        <is>
          <t>097950</t>
        </is>
      </c>
      <c r="D23" s="14" t="n">
        <v>178200</v>
      </c>
      <c r="E23" s="15" t="n">
        <v>2.682656</v>
      </c>
      <c r="F23" s="16" t="n">
        <v>0.0005036815100696473</v>
      </c>
      <c r="G23" s="17" t="n">
        <v>0.04051949991880349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F&amp;F</t>
        </is>
      </c>
      <c r="C24" s="13" t="inlineStr">
        <is>
          <t>383220</t>
        </is>
      </c>
      <c r="D24" s="14" t="n">
        <v>67300</v>
      </c>
      <c r="E24" s="15" t="n">
        <v>2.578066</v>
      </c>
      <c r="F24" s="16" t="n">
        <v>0.0004840442367337502</v>
      </c>
      <c r="G24" s="17" t="n">
        <v>0.0153028189929039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농심</t>
        </is>
      </c>
      <c r="C25" s="13" t="inlineStr">
        <is>
          <t>004370</t>
        </is>
      </c>
      <c r="D25" s="14" t="n">
        <v>408500</v>
      </c>
      <c r="E25" s="15" t="n">
        <v>2.484759</v>
      </c>
      <c r="F25" s="16" t="n">
        <v>0.0004665254006772194</v>
      </c>
      <c r="G25" s="17" t="n">
        <v>0.09288561008322797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BGF리테일</t>
        </is>
      </c>
      <c r="C26" s="13" t="inlineStr">
        <is>
          <t>282330</t>
        </is>
      </c>
      <c r="D26" s="14" t="n">
        <v>141800</v>
      </c>
      <c r="E26" s="15" t="n">
        <v>2.450858</v>
      </c>
      <c r="F26" s="16" t="n">
        <v>0.000460160325590115</v>
      </c>
      <c r="G26" s="17" t="n">
        <v>0.03224278949767864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18" t="n"/>
      <c r="B27" s="12" t="inlineStr">
        <is>
          <t>현대백화점</t>
        </is>
      </c>
      <c r="C27" s="13" t="inlineStr">
        <is>
          <t>069960</t>
        </is>
      </c>
      <c r="D27" s="14" t="n">
        <v>98200</v>
      </c>
      <c r="E27" s="15" t="n">
        <v>2.117674</v>
      </c>
      <c r="F27" s="16" t="n">
        <v>0.0003976034341172444</v>
      </c>
      <c r="G27" s="17" t="n">
        <v>0.02232892756468296</v>
      </c>
      <c r="H27" s="13" t="inlineStr">
        <is>
          <t>가능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1" t="n"/>
      <c r="B28" s="12" t="inlineStr">
        <is>
          <t>이마트</t>
        </is>
      </c>
      <c r="C28" s="13" t="inlineStr">
        <is>
          <t>139480</t>
        </is>
      </c>
      <c r="D28" s="14" t="n">
        <v>74200</v>
      </c>
      <c r="E28" s="15" t="n">
        <v>2.04761</v>
      </c>
      <c r="F28" s="16" t="n">
        <v>0.0003844485826113041</v>
      </c>
      <c r="G28" s="17" t="n">
        <v>0.01687175585844679</v>
      </c>
      <c r="H28" s="13" t="inlineStr">
        <is>
          <t>가능</t>
        </is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18" t="n"/>
      <c r="B29" s="12" t="inlineStr">
        <is>
          <t>GS리테일</t>
        </is>
      </c>
      <c r="C29" s="13" t="inlineStr">
        <is>
          <t>007070</t>
        </is>
      </c>
      <c r="D29" s="14" t="n">
        <v>24450</v>
      </c>
      <c r="E29" s="15" t="n">
        <v>2.044201</v>
      </c>
      <c r="F29" s="16" t="n">
        <v>0.0003838085265370897</v>
      </c>
      <c r="G29" s="17" t="n">
        <v>0.005559493675728088</v>
      </c>
      <c r="H29" s="13" t="inlineStr">
        <is>
          <t>가능</t>
        </is>
      </c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1" t="n"/>
      <c r="B30" s="12" t="inlineStr">
        <is>
          <t>달바글로벌</t>
        </is>
      </c>
      <c r="C30" s="13" t="inlineStr">
        <is>
          <t>483650</t>
        </is>
      </c>
      <c r="D30" s="14" t="n">
        <v>163100</v>
      </c>
      <c r="E30" s="15" t="n">
        <v>2.042977</v>
      </c>
      <c r="F30" s="16" t="n">
        <v>0.0003835787146758876</v>
      </c>
      <c r="G30" s="17" t="n">
        <v>0.03708602938696324</v>
      </c>
      <c r="H30" s="13" t="inlineStr">
        <is>
          <t>가능</t>
        </is>
      </c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18" t="n"/>
      <c r="B31" s="12" t="inlineStr">
        <is>
          <t>호텔신라</t>
        </is>
      </c>
      <c r="C31" s="13" t="inlineStr">
        <is>
          <t>008770</t>
        </is>
      </c>
      <c r="D31" s="14" t="n">
        <v>40800</v>
      </c>
      <c r="E31" s="15" t="n">
        <v>1.601323</v>
      </c>
      <c r="F31" s="16" t="n">
        <v>0.0003006560612874918</v>
      </c>
      <c r="G31" s="17" t="n">
        <v>0.009277191900601472</v>
      </c>
      <c r="H31" s="13" t="inlineStr">
        <is>
          <t>가능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1" t="n"/>
      <c r="B32" s="12" t="inlineStr">
        <is>
          <t>하이트진로</t>
        </is>
      </c>
      <c r="C32" s="13" t="inlineStr">
        <is>
          <t>000080</t>
        </is>
      </c>
      <c r="D32" s="14" t="n">
        <v>15120</v>
      </c>
      <c r="E32" s="15" t="n">
        <v>1.06042</v>
      </c>
      <c r="F32" s="16" t="n">
        <v>0.0001990989328889188</v>
      </c>
      <c r="G32" s="17" t="n">
        <v>0.003438018174928781</v>
      </c>
      <c r="H32" s="13" t="inlineStr">
        <is>
          <t>가능</t>
        </is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33" t="n"/>
      <c r="B33" s="21" t="inlineStr">
        <is>
          <t>롯데칠성</t>
        </is>
      </c>
      <c r="C33" s="22" t="inlineStr">
        <is>
          <t>005300</t>
        </is>
      </c>
      <c r="D33" s="23" t="n">
        <v>96300</v>
      </c>
      <c r="E33" s="24" t="n">
        <v>0.893557</v>
      </c>
      <c r="F33" s="25" t="n">
        <v>0.0001677696056047826</v>
      </c>
      <c r="G33" s="26" t="n">
        <v>0.02189690147127259</v>
      </c>
      <c r="H33" s="22" t="inlineStr">
        <is>
          <t>가능</t>
        </is>
      </c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</row>
    <row r="35" ht="22" customHeight="1">
      <c r="A35" s="28" t="inlineStr">
        <is>
          <t>선정 결과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</row>
    <row r="36" ht="19" customHeight="1">
      <c r="A36" s="4" t="inlineStr">
        <is>
          <t>Top 1</t>
        </is>
      </c>
      <c r="B36" s="8" t="n"/>
      <c r="C36" s="29" t="inlineStr">
        <is>
          <t>선정 근거 (컨센서스와의 차이 중심, 2줄)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Top 2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4" t="inlineStr">
        <is>
          <t>Top 3</t>
        </is>
      </c>
      <c r="B38" s="8" t="n"/>
      <c r="C38" s="5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9" customHeight="1">
      <c r="A39" s="4" t="inlineStr">
        <is>
          <t>탈락 1</t>
        </is>
      </c>
      <c r="B39" s="8" t="n"/>
      <c r="C39" s="29" t="inlineStr">
        <is>
          <t>탈락 사유 (해당 지표와 수치를 명시)</t>
        </is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 ht="19" customHeight="1">
      <c r="A40" s="4" t="inlineStr">
        <is>
          <t>탈락 2</t>
        </is>
      </c>
      <c r="B40" s="8" t="n"/>
      <c r="C40" s="5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9" customHeight="1">
      <c r="A41" s="4" t="inlineStr">
        <is>
          <t>탈락 3</t>
        </is>
      </c>
      <c r="B41" s="8" t="n"/>
      <c r="C41" s="5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9" customHeight="1">
      <c r="A42" s="4" t="inlineStr">
        <is>
          <t>탈락 4</t>
        </is>
      </c>
      <c r="B42" s="8" t="n"/>
      <c r="C42" s="5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19" customHeight="1">
      <c r="A43" s="30" t="inlineStr">
        <is>
          <t>탈락 5</t>
        </is>
      </c>
      <c r="B43" s="31" t="n"/>
      <c r="C43" s="27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</row>
  </sheetData>
  <mergeCells count="15">
    <mergeCell ref="E4:F4"/>
    <mergeCell ref="C43:Q43"/>
    <mergeCell ref="C38:Q38"/>
    <mergeCell ref="C42:Q42"/>
    <mergeCell ref="B5:C5"/>
    <mergeCell ref="C36:Q36"/>
    <mergeCell ref="C41:Q41"/>
    <mergeCell ref="E5:F5"/>
    <mergeCell ref="K5:L5"/>
    <mergeCell ref="H5:I5"/>
    <mergeCell ref="C37:Q37"/>
    <mergeCell ref="H4:I4"/>
    <mergeCell ref="C39:Q39"/>
    <mergeCell ref="C40:Q40"/>
    <mergeCell ref="B4:C4"/>
  </mergeCells>
  <dataValidations count="1">
    <dataValidation sqref="Q10:Q33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내수·소비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0.83%</t>
        </is>
      </c>
      <c r="C5" s="9" t="n"/>
      <c r="D5" s="4" t="inlineStr">
        <is>
          <t>배정액</t>
        </is>
      </c>
      <c r="E5" s="8" t="inlineStr">
        <is>
          <t>233,516원</t>
        </is>
      </c>
      <c r="F5" s="9" t="n"/>
      <c r="G5" s="4" t="inlineStr">
        <is>
          <t>종목 수</t>
        </is>
      </c>
      <c r="H5" s="8" t="inlineStr">
        <is>
          <t>10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순수지주만 모았다. 자회사와 중복 노출을 확인한다. LG ↔ LG전자·LG화학·LG에너지솔루션, CJ ↔ CJ제일제당·CJ대한통운, 한미사이언스 ↔ 한미약품.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LG</t>
        </is>
      </c>
      <c r="C11" s="13" t="inlineStr">
        <is>
          <t>003550</t>
        </is>
      </c>
      <c r="D11" s="14" t="n">
        <v>114300</v>
      </c>
      <c r="E11" s="15" t="n">
        <v>17.281246</v>
      </c>
      <c r="F11" s="16" t="n">
        <v>0.003244636688850546</v>
      </c>
      <c r="G11" s="17" t="n">
        <v>0.02598978025094971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삼성에피스홀딩스</t>
        </is>
      </c>
      <c r="C12" s="13" t="inlineStr">
        <is>
          <t>0126Z0</t>
        </is>
      </c>
      <c r="D12" s="14" t="n">
        <v>333000</v>
      </c>
      <c r="E12" s="15" t="n">
        <v>8.286054999999999</v>
      </c>
      <c r="F12" s="16" t="n">
        <v>0.001555746504553752</v>
      </c>
      <c r="G12" s="17" t="n">
        <v>0.07571825742402671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CJ</t>
        </is>
      </c>
      <c r="C13" s="13" t="inlineStr">
        <is>
          <t>001040</t>
        </is>
      </c>
      <c r="D13" s="14" t="n">
        <v>131500</v>
      </c>
      <c r="E13" s="15" t="n">
        <v>3.836775</v>
      </c>
      <c r="F13" s="16" t="n">
        <v>0.0007203728788922138</v>
      </c>
      <c r="G13" s="17" t="n">
        <v>0.02990075330708563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한미사이언스</t>
        </is>
      </c>
      <c r="C14" s="13" t="inlineStr">
        <is>
          <t>008930</t>
        </is>
      </c>
      <c r="D14" s="14" t="n">
        <v>51600</v>
      </c>
      <c r="E14" s="15" t="n">
        <v>3.529004</v>
      </c>
      <c r="F14" s="16" t="n">
        <v>0.0006625873998611173</v>
      </c>
      <c r="G14" s="17" t="n">
        <v>0.01173291916840774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롯데지주</t>
        </is>
      </c>
      <c r="C15" s="13" t="inlineStr">
        <is>
          <t>004990</t>
        </is>
      </c>
      <c r="D15" s="14" t="n">
        <v>24950</v>
      </c>
      <c r="E15" s="15" t="n">
        <v>2.486611</v>
      </c>
      <c r="F15" s="16" t="n">
        <v>0.0004668731225456397</v>
      </c>
      <c r="G15" s="17" t="n">
        <v>0.005673184752941342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영원무역홀딩스</t>
        </is>
      </c>
      <c r="C16" s="13" t="inlineStr">
        <is>
          <t>009970</t>
        </is>
      </c>
      <c r="D16" s="14" t="n">
        <v>168500</v>
      </c>
      <c r="E16" s="15" t="n">
        <v>2.182718</v>
      </c>
      <c r="F16" s="16" t="n">
        <v>0.0004098157565845939</v>
      </c>
      <c r="G16" s="17" t="n">
        <v>0.03831389302086637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미스토홀딩스</t>
        </is>
      </c>
      <c r="C17" s="13" t="inlineStr">
        <is>
          <t>081660</t>
        </is>
      </c>
      <c r="D17" s="14" t="n">
        <v>39100</v>
      </c>
      <c r="E17" s="15" t="n">
        <v>2.075891</v>
      </c>
      <c r="F17" s="16" t="n">
        <v>0.0003897584757866793</v>
      </c>
      <c r="G17" s="17" t="n">
        <v>0.00889064223807641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아모레퍼시픽홀딩스</t>
        </is>
      </c>
      <c r="C18" s="13" t="inlineStr">
        <is>
          <t>002790</t>
        </is>
      </c>
      <c r="D18" s="14" t="n">
        <v>26300</v>
      </c>
      <c r="E18" s="15" t="n">
        <v>2.01085</v>
      </c>
      <c r="F18" s="16" t="n">
        <v>0.0003775467165836954</v>
      </c>
      <c r="G18" s="17" t="n">
        <v>0.005980150661417125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오리온홀딩스</t>
        </is>
      </c>
      <c r="C19" s="13" t="inlineStr">
        <is>
          <t>001800</t>
        </is>
      </c>
      <c r="D19" s="14" t="n">
        <v>24450</v>
      </c>
      <c r="E19" s="15" t="n">
        <v>1.47083</v>
      </c>
      <c r="F19" s="16" t="n">
        <v>0.0002761553756634243</v>
      </c>
      <c r="G19" s="17" t="n">
        <v>0.005559493675728088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33" t="n"/>
      <c r="B20" s="21" t="inlineStr">
        <is>
          <t>하림지주</t>
        </is>
      </c>
      <c r="C20" s="22" t="inlineStr">
        <is>
          <t>003380</t>
        </is>
      </c>
      <c r="D20" s="23" t="n">
        <v>11240</v>
      </c>
      <c r="E20" s="24" t="n">
        <v>1.258943</v>
      </c>
      <c r="F20" s="25" t="n">
        <v>0.0002363725767789877</v>
      </c>
      <c r="G20" s="26" t="n">
        <v>0.002555775415753935</v>
      </c>
      <c r="H20" s="22" t="inlineStr">
        <is>
          <t>가능</t>
        </is>
      </c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</row>
    <row r="22" ht="22" customHeight="1">
      <c r="A22" s="28" t="inlineStr">
        <is>
          <t>선정 결과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</row>
    <row r="23" ht="19" customHeight="1">
      <c r="A23" s="4" t="inlineStr">
        <is>
          <t>Top 1</t>
        </is>
      </c>
      <c r="B23" s="8" t="n"/>
      <c r="C23" s="29" t="inlineStr">
        <is>
          <t>선정 근거 (컨센서스와의 차이 중심, 2줄)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Top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1</t>
        </is>
      </c>
      <c r="B26" s="8" t="n"/>
      <c r="C26" s="29" t="inlineStr">
        <is>
          <t>탈락 사유 (해당 지표와 수치를 명시)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4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30" t="inlineStr">
        <is>
          <t>탈락 5</t>
        </is>
      </c>
      <c r="B30" s="31" t="n"/>
      <c r="C30" s="27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</row>
  </sheetData>
  <mergeCells count="16">
    <mergeCell ref="C29:Q29"/>
    <mergeCell ref="C30:Q30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23:Q23"/>
    <mergeCell ref="H4:I4"/>
    <mergeCell ref="B4:C4"/>
  </mergeCells>
  <dataValidations count="1">
    <dataValidation sqref="Q11:Q20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금융 — 은행·지주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4.12%</t>
        </is>
      </c>
      <c r="C5" s="9" t="n"/>
      <c r="D5" s="4" t="inlineStr">
        <is>
          <t>배정액</t>
        </is>
      </c>
      <c r="E5" s="8" t="inlineStr">
        <is>
          <t>1,152,566원</t>
        </is>
      </c>
      <c r="F5" s="9" t="n"/>
      <c r="G5" s="4" t="inlineStr">
        <is>
          <t>종목 수</t>
        </is>
      </c>
      <c r="H5" s="8" t="inlineStr">
        <is>
          <t>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매출·영업이익률 대신 NIM·대손비용률·CET1·주주환원율을 사용한다. 밸류에이션은 PBR-ROE 기준.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KB금융</t>
        </is>
      </c>
      <c r="C11" s="13" t="inlineStr">
        <is>
          <t>105560</t>
        </is>
      </c>
      <c r="D11" s="14" t="n">
        <v>175800</v>
      </c>
      <c r="E11" s="15" t="n">
        <v>62.354104</v>
      </c>
      <c r="F11" s="16" t="n">
        <v>0.01170728161261072</v>
      </c>
      <c r="G11" s="17" t="n">
        <v>0.03997378274817987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신한지주</t>
        </is>
      </c>
      <c r="C12" s="13" t="inlineStr">
        <is>
          <t>055550</t>
        </is>
      </c>
      <c r="D12" s="14" t="n">
        <v>112200</v>
      </c>
      <c r="E12" s="15" t="n">
        <v>52.672317</v>
      </c>
      <c r="F12" s="16" t="n">
        <v>0.009889479741505117</v>
      </c>
      <c r="G12" s="17" t="n">
        <v>0.02551227772665405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하나금융지주</t>
        </is>
      </c>
      <c r="C13" s="13" t="inlineStr">
        <is>
          <t>086790</t>
        </is>
      </c>
      <c r="D13" s="14" t="n">
        <v>137600</v>
      </c>
      <c r="E13" s="15" t="n">
        <v>37.28546</v>
      </c>
      <c r="F13" s="16" t="n">
        <v>0.007000523658807328</v>
      </c>
      <c r="G13" s="17" t="n">
        <v>0.03128778444908731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우리금융지주</t>
        </is>
      </c>
      <c r="C14" s="13" t="inlineStr">
        <is>
          <t>316140</t>
        </is>
      </c>
      <c r="D14" s="14" t="n">
        <v>36350</v>
      </c>
      <c r="E14" s="15" t="n">
        <v>26.782191</v>
      </c>
      <c r="F14" s="16" t="n">
        <v>0.005028484608482682</v>
      </c>
      <c r="G14" s="17" t="n">
        <v>0.008265341313403517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기업은행</t>
        </is>
      </c>
      <c r="C15" s="13" t="inlineStr">
        <is>
          <t>024110</t>
        </is>
      </c>
      <c r="D15" s="14" t="n">
        <v>20350</v>
      </c>
      <c r="E15" s="15" t="n">
        <v>16.227616</v>
      </c>
      <c r="F15" s="16" t="n">
        <v>0.003046812610975976</v>
      </c>
      <c r="G15" s="17" t="n">
        <v>0.004627226842579411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카카오뱅크</t>
        </is>
      </c>
      <c r="C16" s="13" t="inlineStr">
        <is>
          <t>323410</t>
        </is>
      </c>
      <c r="D16" s="14" t="n">
        <v>21150</v>
      </c>
      <c r="E16" s="15" t="n">
        <v>10.091097</v>
      </c>
      <c r="F16" s="16" t="n">
        <v>0.001894651783612691</v>
      </c>
      <c r="G16" s="17" t="n">
        <v>0.004809132566120616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JB금융지주</t>
        </is>
      </c>
      <c r="C17" s="13" t="inlineStr">
        <is>
          <t>175330</t>
        </is>
      </c>
      <c r="D17" s="14" t="n">
        <v>32200</v>
      </c>
      <c r="E17" s="15" t="n">
        <v>6.006003</v>
      </c>
      <c r="F17" s="16" t="n">
        <v>0.001127655823379081</v>
      </c>
      <c r="G17" s="17" t="n">
        <v>0.007321705372533515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BNK금융지주</t>
        </is>
      </c>
      <c r="C18" s="13" t="inlineStr">
        <is>
          <t>138930</t>
        </is>
      </c>
      <c r="D18" s="14" t="n">
        <v>16040</v>
      </c>
      <c r="E18" s="15" t="n">
        <v>4.92171</v>
      </c>
      <c r="F18" s="16" t="n">
        <v>0.0009240746204227764</v>
      </c>
      <c r="G18" s="17" t="n">
        <v>0.003647209757001167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20" t="n"/>
      <c r="B19" s="21" t="inlineStr">
        <is>
          <t>iM금융지주</t>
        </is>
      </c>
      <c r="C19" s="22" t="inlineStr">
        <is>
          <t>139130</t>
        </is>
      </c>
      <c r="D19" s="23" t="n">
        <v>18300</v>
      </c>
      <c r="E19" s="24" t="n">
        <v>2.89805</v>
      </c>
      <c r="F19" s="25" t="n">
        <v>0.0005441227649975775</v>
      </c>
      <c r="G19" s="26" t="n">
        <v>0.004161093426005072</v>
      </c>
      <c r="H19" s="22" t="inlineStr">
        <is>
          <t>가능</t>
        </is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1" ht="22" customHeight="1">
      <c r="A21" s="28" t="inlineStr">
        <is>
          <t>선정 결과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</row>
    <row r="22" ht="19" customHeight="1">
      <c r="A22" s="4" t="inlineStr">
        <is>
          <t>Top 1</t>
        </is>
      </c>
      <c r="B22" s="8" t="n"/>
      <c r="C22" s="29" t="inlineStr">
        <is>
          <t>선정 근거 (컨센서스와의 차이 중심, 2줄)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Top 2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3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1</t>
        </is>
      </c>
      <c r="B25" s="8" t="n"/>
      <c r="C25" s="29" t="inlineStr">
        <is>
          <t>탈락 사유 (해당 지표와 수치를 명시)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4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30" t="inlineStr">
        <is>
          <t>탈락 5</t>
        </is>
      </c>
      <c r="B29" s="31" t="n"/>
      <c r="C29" s="27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</row>
  </sheetData>
  <mergeCells count="16">
    <mergeCell ref="C29:Q29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23:Q23"/>
    <mergeCell ref="H4:I4"/>
    <mergeCell ref="C22:Q22"/>
    <mergeCell ref="B4:C4"/>
  </mergeCells>
  <dataValidations count="1">
    <dataValidation sqref="Q11:Q19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금융 — 보험·증권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3.77%</t>
        </is>
      </c>
      <c r="C5" s="9" t="n"/>
      <c r="D5" s="4" t="inlineStr">
        <is>
          <t>배정액</t>
        </is>
      </c>
      <c r="E5" s="8" t="inlineStr">
        <is>
          <t>1,056,617원</t>
        </is>
      </c>
      <c r="F5" s="9" t="n"/>
      <c r="G5" s="4" t="inlineStr">
        <is>
          <t>종목 수</t>
        </is>
      </c>
      <c r="H5" s="8" t="inlineStr">
        <is>
          <t>19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보험은 IFRS17 기준 CSM을 확인한다.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삼성생명</t>
        </is>
      </c>
      <c r="C11" s="13" t="inlineStr">
        <is>
          <t>032830</t>
        </is>
      </c>
      <c r="D11" s="14" t="n">
        <v>285500</v>
      </c>
      <c r="E11" s="15" t="n">
        <v>57.1</v>
      </c>
      <c r="F11" s="16" t="n">
        <v>0.01072079842699804</v>
      </c>
      <c r="G11" s="17" t="n">
        <v>0.06491760508876765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삼성화재</t>
        </is>
      </c>
      <c r="C12" s="13" t="inlineStr">
        <is>
          <t>000810</t>
        </is>
      </c>
      <c r="D12" s="14" t="n">
        <v>661000</v>
      </c>
      <c r="E12" s="15" t="n">
        <v>29.51198</v>
      </c>
      <c r="F12" s="16" t="n">
        <v>0.00554101556500171</v>
      </c>
      <c r="G12" s="17" t="n">
        <v>0.1502996040759209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메리츠금융지주</t>
        </is>
      </c>
      <c r="C13" s="13" t="inlineStr">
        <is>
          <t>138040</t>
        </is>
      </c>
      <c r="D13" s="14" t="n">
        <v>126500</v>
      </c>
      <c r="E13" s="15" t="n">
        <v>21.16943</v>
      </c>
      <c r="F13" s="16" t="n">
        <v>0.003974661853668042</v>
      </c>
      <c r="G13" s="17" t="n">
        <v>0.02876384253495309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미래에셋증권</t>
        </is>
      </c>
      <c r="C14" s="13" t="inlineStr">
        <is>
          <t>006800</t>
        </is>
      </c>
      <c r="D14" s="14" t="n">
        <v>32050</v>
      </c>
      <c r="E14" s="15" t="n">
        <v>17.403825</v>
      </c>
      <c r="F14" s="16" t="n">
        <v>0.003267651483077919</v>
      </c>
      <c r="G14" s="17" t="n">
        <v>0.007287598049369539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DB손해보험</t>
        </is>
      </c>
      <c r="C15" s="13" t="inlineStr">
        <is>
          <t>005830</t>
        </is>
      </c>
      <c r="D15" s="14" t="n">
        <v>188700</v>
      </c>
      <c r="E15" s="15" t="n">
        <v>12.359916</v>
      </c>
      <c r="F15" s="16" t="n">
        <v>0.002320633415247424</v>
      </c>
      <c r="G15" s="17" t="n">
        <v>0.04290701254028181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한국금융지주</t>
        </is>
      </c>
      <c r="C16" s="13" t="inlineStr">
        <is>
          <t>071050</t>
        </is>
      </c>
      <c r="D16" s="14" t="n">
        <v>191200</v>
      </c>
      <c r="E16" s="15" t="n">
        <v>10.65481</v>
      </c>
      <c r="F16" s="16" t="n">
        <v>0.002000491598738407</v>
      </c>
      <c r="G16" s="17" t="n">
        <v>0.04347546792634808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NH투자증권</t>
        </is>
      </c>
      <c r="C17" s="13" t="inlineStr">
        <is>
          <t>005940</t>
        </is>
      </c>
      <c r="D17" s="14" t="n">
        <v>25850</v>
      </c>
      <c r="E17" s="15" t="n">
        <v>9.543977999999999</v>
      </c>
      <c r="F17" s="16" t="n">
        <v>0.001791927571448405</v>
      </c>
      <c r="G17" s="17" t="n">
        <v>0.005877828691925198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삼성증권</t>
        </is>
      </c>
      <c r="C18" s="13" t="inlineStr">
        <is>
          <t>016360</t>
        </is>
      </c>
      <c r="D18" s="14" t="n">
        <v>86900</v>
      </c>
      <c r="E18" s="15" t="n">
        <v>7.76017</v>
      </c>
      <c r="F18" s="16" t="n">
        <v>0.001457009077569832</v>
      </c>
      <c r="G18" s="17" t="n">
        <v>0.01975950921966343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키움증권</t>
        </is>
      </c>
      <c r="C19" s="13" t="inlineStr">
        <is>
          <t>039490</t>
        </is>
      </c>
      <c r="D19" s="14" t="n">
        <v>268500</v>
      </c>
      <c r="E19" s="15" t="n">
        <v>7.042303</v>
      </c>
      <c r="F19" s="16" t="n">
        <v>0.001322226110767839</v>
      </c>
      <c r="G19" s="17" t="n">
        <v>0.06105210846351704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삼성카드</t>
        </is>
      </c>
      <c r="C20" s="13" t="inlineStr">
        <is>
          <t>029780</t>
        </is>
      </c>
      <c r="D20" s="14" t="n">
        <v>45250</v>
      </c>
      <c r="E20" s="15" t="n">
        <v>5.242615</v>
      </c>
      <c r="F20" s="16" t="n">
        <v>0.0009843260708468711</v>
      </c>
      <c r="G20" s="17" t="n">
        <v>0.01028904248779943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한화생명</t>
        </is>
      </c>
      <c r="C21" s="13" t="inlineStr">
        <is>
          <t>088350</t>
        </is>
      </c>
      <c r="D21" s="14" t="n">
        <v>5970</v>
      </c>
      <c r="E21" s="15" t="n">
        <v>5.185124</v>
      </c>
      <c r="F21" s="16" t="n">
        <v>0.0009735318602975446</v>
      </c>
      <c r="G21" s="17" t="n">
        <v>0.001357471461926245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현대해상</t>
        </is>
      </c>
      <c r="C22" s="13" t="inlineStr">
        <is>
          <t>001450</t>
        </is>
      </c>
      <c r="D22" s="14" t="n">
        <v>49200</v>
      </c>
      <c r="E22" s="15" t="n">
        <v>4.194214</v>
      </c>
      <c r="F22" s="16" t="n">
        <v>0.0007874837627617016</v>
      </c>
      <c r="G22" s="17" t="n">
        <v>0.01118720199778413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서울보증보험</t>
        </is>
      </c>
      <c r="C23" s="13" t="inlineStr">
        <is>
          <t>031210</t>
        </is>
      </c>
      <c r="D23" s="14" t="n">
        <v>42950</v>
      </c>
      <c r="E23" s="15" t="n">
        <v>2.998838</v>
      </c>
      <c r="F23" s="16" t="n">
        <v>0.0005630461946273547</v>
      </c>
      <c r="G23" s="17" t="n">
        <v>0.009766063532618462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코리안리</t>
        </is>
      </c>
      <c r="C24" s="13" t="inlineStr">
        <is>
          <t>003690</t>
        </is>
      </c>
      <c r="D24" s="14" t="n">
        <v>15020</v>
      </c>
      <c r="E24" s="15" t="n">
        <v>2.65435</v>
      </c>
      <c r="F24" s="16" t="n">
        <v>0.0004983669230245578</v>
      </c>
      <c r="G24" s="17" t="n">
        <v>0.00341527995948613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미래에셋생명</t>
        </is>
      </c>
      <c r="C25" s="13" t="inlineStr">
        <is>
          <t>085620</t>
        </is>
      </c>
      <c r="D25" s="14" t="n">
        <v>19280</v>
      </c>
      <c r="E25" s="15" t="n">
        <v>2.60627</v>
      </c>
      <c r="F25" s="16" t="n">
        <v>0.0004893396727904061</v>
      </c>
      <c r="G25" s="17" t="n">
        <v>0.004383927937343049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신영증권</t>
        </is>
      </c>
      <c r="C26" s="13" t="inlineStr">
        <is>
          <t>001720</t>
        </is>
      </c>
      <c r="D26" s="14" t="n">
        <v>146200</v>
      </c>
      <c r="E26" s="15" t="n">
        <v>2.403528</v>
      </c>
      <c r="F26" s="16" t="n">
        <v>0.0004512738914473862</v>
      </c>
      <c r="G26" s="17" t="n">
        <v>0.03324327097715527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대신증권</t>
        </is>
      </c>
      <c r="C27" s="13" t="inlineStr">
        <is>
          <t>003540</t>
        </is>
      </c>
      <c r="D27" s="14" t="n">
        <v>27000</v>
      </c>
      <c r="E27" s="15" t="n">
        <v>1.286985</v>
      </c>
      <c r="F27" s="16" t="n">
        <v>0.0002416375965598962</v>
      </c>
      <c r="G27" s="17" t="n">
        <v>0.00613931816951568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한화투자증권</t>
        </is>
      </c>
      <c r="C28" s="13" t="inlineStr">
        <is>
          <t>003530</t>
        </is>
      </c>
      <c r="D28" s="14" t="n">
        <v>4745</v>
      </c>
      <c r="E28" s="15" t="n">
        <v>1.018029</v>
      </c>
      <c r="F28" s="16" t="n">
        <v>0.000191139819646907</v>
      </c>
      <c r="G28" s="17" t="n">
        <v>0.001078928322753774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20" t="n"/>
      <c r="B29" s="21" t="inlineStr">
        <is>
          <t>미래에셋벤처투자</t>
        </is>
      </c>
      <c r="C29" s="22" t="inlineStr">
        <is>
          <t>100790</t>
        </is>
      </c>
      <c r="D29" s="23" t="n">
        <v>16020</v>
      </c>
      <c r="E29" s="24" t="n">
        <v>0.850992</v>
      </c>
      <c r="F29" s="25" t="n">
        <v>0.0001597778230295607</v>
      </c>
      <c r="G29" s="26" t="n">
        <v>0.003642662113912637</v>
      </c>
      <c r="H29" s="22" t="inlineStr">
        <is>
          <t>가능</t>
        </is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1" ht="22" customHeight="1">
      <c r="A31" s="28" t="inlineStr">
        <is>
          <t>선정 결과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</row>
    <row r="32" ht="19" customHeight="1">
      <c r="A32" s="4" t="inlineStr">
        <is>
          <t>Top 1</t>
        </is>
      </c>
      <c r="B32" s="8" t="n"/>
      <c r="C32" s="29" t="inlineStr">
        <is>
          <t>선정 근거 (컨센서스와의 차이 중심, 2줄)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Top 2</t>
        </is>
      </c>
      <c r="B33" s="8" t="n"/>
      <c r="C33" s="5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Top 3</t>
        </is>
      </c>
      <c r="B34" s="8" t="n"/>
      <c r="C34" s="5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1</t>
        </is>
      </c>
      <c r="B35" s="8" t="n"/>
      <c r="C35" s="29" t="inlineStr">
        <is>
          <t>탈락 사유 (해당 지표와 수치를 명시)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2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탈락 3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4" t="inlineStr">
        <is>
          <t>탈락 4</t>
        </is>
      </c>
      <c r="B38" s="8" t="n"/>
      <c r="C38" s="5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9" customHeight="1">
      <c r="A39" s="30" t="inlineStr">
        <is>
          <t>탈락 5</t>
        </is>
      </c>
      <c r="B39" s="31" t="n"/>
      <c r="C39" s="27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</row>
  </sheetData>
  <mergeCells count="16">
    <mergeCell ref="E4:F4"/>
    <mergeCell ref="C33:Q33"/>
    <mergeCell ref="C39:Q39"/>
    <mergeCell ref="C32:Q32"/>
    <mergeCell ref="C38:Q38"/>
    <mergeCell ref="B5:C5"/>
    <mergeCell ref="C36:Q36"/>
    <mergeCell ref="A7:Q7"/>
    <mergeCell ref="E5:F5"/>
    <mergeCell ref="K5:L5"/>
    <mergeCell ref="H5:I5"/>
    <mergeCell ref="C37:Q37"/>
    <mergeCell ref="H4:I4"/>
    <mergeCell ref="C34:Q34"/>
    <mergeCell ref="C35:Q35"/>
    <mergeCell ref="B4:C4"/>
  </mergeCells>
  <dataValidations count="1">
    <dataValidation sqref="Q11:Q29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통신·미디어·엔터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1.11%</t>
        </is>
      </c>
      <c r="C5" s="9" t="n"/>
      <c r="D5" s="4" t="inlineStr">
        <is>
          <t>배정액</t>
        </is>
      </c>
      <c r="E5" s="8" t="inlineStr">
        <is>
          <t>309,664원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SK텔레콤</t>
        </is>
      </c>
      <c r="C10" s="13" t="inlineStr">
        <is>
          <t>017670</t>
        </is>
      </c>
      <c r="D10" s="14" t="n">
        <v>88000</v>
      </c>
      <c r="E10" s="15" t="n">
        <v>18.901525</v>
      </c>
      <c r="F10" s="16" t="n">
        <v>0.003548851829910055</v>
      </c>
      <c r="G10" s="17" t="n">
        <v>0.02000962958953259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KT</t>
        </is>
      </c>
      <c r="C11" s="13" t="inlineStr">
        <is>
          <t>030200</t>
        </is>
      </c>
      <c r="D11" s="14" t="n">
        <v>53000</v>
      </c>
      <c r="E11" s="15" t="n">
        <v>13.357149</v>
      </c>
      <c r="F11" s="16" t="n">
        <v>0.002507868686311357</v>
      </c>
      <c r="G11" s="17" t="n">
        <v>0.01205125418460485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하이브</t>
        </is>
      </c>
      <c r="C12" s="13" t="inlineStr">
        <is>
          <t>352820</t>
        </is>
      </c>
      <c r="D12" s="14" t="n">
        <v>173100</v>
      </c>
      <c r="E12" s="15" t="n">
        <v>7.461793</v>
      </c>
      <c r="F12" s="16" t="n">
        <v>0.001400987367022505</v>
      </c>
      <c r="G12" s="17" t="n">
        <v>0.0393598509312283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LG유플러스</t>
        </is>
      </c>
      <c r="C13" s="13" t="inlineStr">
        <is>
          <t>032640</t>
        </is>
      </c>
      <c r="D13" s="14" t="n">
        <v>14850</v>
      </c>
      <c r="E13" s="15" t="n">
        <v>6.302752</v>
      </c>
      <c r="F13" s="16" t="n">
        <v>0.001183371869130626</v>
      </c>
      <c r="G13" s="17" t="n">
        <v>0.003376624993233624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강원랜드</t>
        </is>
      </c>
      <c r="C14" s="13" t="inlineStr">
        <is>
          <t>035250</t>
        </is>
      </c>
      <c r="D14" s="14" t="n">
        <v>14730</v>
      </c>
      <c r="E14" s="15" t="n">
        <v>3.151344</v>
      </c>
      <c r="F14" s="16" t="n">
        <v>0.0005916799264120791</v>
      </c>
      <c r="G14" s="17" t="n">
        <v>0.003349339134702443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제일기획</t>
        </is>
      </c>
      <c r="C15" s="13" t="inlineStr">
        <is>
          <t>030000</t>
        </is>
      </c>
      <c r="D15" s="14" t="n">
        <v>18790</v>
      </c>
      <c r="E15" s="15" t="n">
        <v>2.161625</v>
      </c>
      <c r="F15" s="16" t="n">
        <v>0.0004058554448294158</v>
      </c>
      <c r="G15" s="17" t="n">
        <v>0.00427251068167406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에스엠</t>
        </is>
      </c>
      <c r="C16" s="13" t="inlineStr">
        <is>
          <t>041510</t>
        </is>
      </c>
      <c r="D16" s="14" t="n">
        <v>87500</v>
      </c>
      <c r="E16" s="15" t="n">
        <v>2.003285</v>
      </c>
      <c r="F16" s="16" t="n">
        <v>0.0003761263516082097</v>
      </c>
      <c r="G16" s="17" t="n">
        <v>0.01989593851231933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JYP Ent.</t>
        </is>
      </c>
      <c r="C17" s="13" t="inlineStr">
        <is>
          <t>035900</t>
        </is>
      </c>
      <c r="D17" s="14" t="n">
        <v>39150</v>
      </c>
      <c r="E17" s="15" t="n">
        <v>1.391097</v>
      </c>
      <c r="F17" s="16" t="n">
        <v>0.0002611851231068598</v>
      </c>
      <c r="G17" s="17" t="n">
        <v>0.008902011345797736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롯데관광개발</t>
        </is>
      </c>
      <c r="C18" s="13" t="inlineStr">
        <is>
          <t>032350</t>
        </is>
      </c>
      <c r="D18" s="14" t="n">
        <v>11680</v>
      </c>
      <c r="E18" s="15" t="n">
        <v>0.931193</v>
      </c>
      <c r="F18" s="16" t="n">
        <v>0.0001748359448271732</v>
      </c>
      <c r="G18" s="17" t="n">
        <v>0.002655823563701598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파라다이스</t>
        </is>
      </c>
      <c r="C19" s="13" t="inlineStr">
        <is>
          <t>034230</t>
        </is>
      </c>
      <c r="D19" s="14" t="n">
        <v>9880</v>
      </c>
      <c r="E19" s="15" t="n">
        <v>0.915178</v>
      </c>
      <c r="F19" s="16" t="n">
        <v>0.0001718290518883225</v>
      </c>
      <c r="G19" s="17" t="n">
        <v>0.002246535685733886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와이지엔터테인먼트</t>
        </is>
      </c>
      <c r="C20" s="13" t="inlineStr">
        <is>
          <t>122870</t>
        </is>
      </c>
      <c r="D20" s="14" t="n">
        <v>44600</v>
      </c>
      <c r="E20" s="15" t="n">
        <v>0.8336209999999999</v>
      </c>
      <c r="F20" s="16" t="n">
        <v>0.0001565163345974174</v>
      </c>
      <c r="G20" s="17" t="n">
        <v>0.0101412440874222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CJ ENM</t>
        </is>
      </c>
      <c r="C21" s="13" t="inlineStr">
        <is>
          <t>035760</t>
        </is>
      </c>
      <c r="D21" s="14" t="n">
        <v>38000</v>
      </c>
      <c r="E21" s="15" t="n">
        <v>0.833308</v>
      </c>
      <c r="F21" s="16" t="n">
        <v>0.0001564575673485969</v>
      </c>
      <c r="G21" s="17" t="n">
        <v>0.008640521868207253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스튜디오드래곤</t>
        </is>
      </c>
      <c r="C22" s="22" t="inlineStr">
        <is>
          <t>253450</t>
        </is>
      </c>
      <c r="D22" s="23" t="n">
        <v>21950</v>
      </c>
      <c r="E22" s="24" t="n">
        <v>0.659784</v>
      </c>
      <c r="F22" s="25" t="n">
        <v>0.0001238776054178367</v>
      </c>
      <c r="G22" s="26" t="n">
        <v>0.004991038289661821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2026-09-15T09:48:59Z</dcterms:created>
  <dcterms:modified xmlns:dcterms="http://purl.org/dc/terms/" xmlns:xsi="http://www.w3.org/2001/XMLSchema-instance" xsi:type="dcterms:W3CDTF">2026-09-15T09:49:00Z</dcterms:modified>
</cp:coreProperties>
</file>