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취합" sheetId="1" state="visible" r:id="rId1"/>
    <sheet xmlns:r="http://schemas.openxmlformats.org/officeDocument/2006/relationships" name="작성요령" sheetId="2" state="visible" r:id="rId2"/>
    <sheet xmlns:r="http://schemas.openxmlformats.org/officeDocument/2006/relationships" name="전력기기·유틸리티" sheetId="3" state="visible" r:id="rId3"/>
    <sheet xmlns:r="http://schemas.openxmlformats.org/officeDocument/2006/relationships" name="조선·기자재" sheetId="4" state="visible" r:id="rId4"/>
    <sheet xmlns:r="http://schemas.openxmlformats.org/officeDocument/2006/relationships" name="기계·건설·로봇" sheetId="5" state="visible" r:id="rId5"/>
    <sheet xmlns:r="http://schemas.openxmlformats.org/officeDocument/2006/relationships" name="방산·우주" sheetId="6" state="visible" r:id="rId6"/>
    <sheet xmlns:r="http://schemas.openxmlformats.org/officeDocument/2006/relationships" name="소재·에너지" sheetId="7" state="visible" r:id="rId7"/>
    <sheet xmlns:r="http://schemas.openxmlformats.org/officeDocument/2006/relationships" name="지주 — 산업재·인프라" sheetId="8" state="visible" r:id="rId8"/>
    <sheet xmlns:r="http://schemas.openxmlformats.org/officeDocument/2006/relationships" name="참고_1팀 지주" sheetId="9" state="visible" r:id="rId9"/>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yyyy\-mm\-dd"/>
    <numFmt numFmtId="167" formatCode="0.00&quot;%&quot;"/>
  </numFmts>
  <fonts count="39">
    <font>
      <name val="Calibri"/>
      <family val="2"/>
      <color theme="1"/>
      <sz val="11"/>
      <scheme val="minor"/>
    </font>
    <font>
      <name val="맑은 고딕"/>
      <charset val="129"/>
      <family val="3"/>
      <b val="1"/>
      <color rgb="FF1F2A44"/>
      <sz val="15"/>
    </font>
    <font>
      <name val="맑은 고딕"/>
      <charset val="129"/>
      <family val="3"/>
      <color rgb="FF5A5A5A"/>
      <sz val="9"/>
    </font>
    <font>
      <name val="맑은 고딕"/>
      <charset val="129"/>
      <family val="3"/>
      <sz val="9"/>
    </font>
    <font>
      <name val="맑은 고딕"/>
      <charset val="129"/>
      <family val="3"/>
      <b val="1"/>
      <color rgb="FF1F2A44"/>
      <sz val="9"/>
    </font>
    <font>
      <name val="맑은 고딕"/>
      <family val="2"/>
      <color theme="1"/>
      <sz val="11"/>
      <scheme val="minor"/>
    </font>
    <font>
      <name val="맑은 고딕"/>
      <charset val="129"/>
      <family val="3"/>
      <b val="1"/>
      <color rgb="FFFFFFFF"/>
      <sz val="9"/>
    </font>
    <font>
      <name val="맑은 고딕"/>
      <charset val="129"/>
      <family val="3"/>
      <b val="1"/>
      <color rgb="FF9C0006"/>
      <sz val="9"/>
    </font>
    <font>
      <name val="맑은 고딕"/>
      <charset val="129"/>
      <family val="3"/>
      <color theme="1"/>
      <sz val="9"/>
    </font>
    <font>
      <name val="맑은 고딕"/>
      <charset val="129"/>
      <family val="3"/>
      <color theme="1" tint="0.0499893185216834"/>
      <sz val="9"/>
    </font>
    <font>
      <name val="맑은 고딕"/>
      <charset val="129"/>
      <family val="3"/>
      <color rgb="FFFFFFFF"/>
      <sz val="9"/>
    </font>
    <font>
      <name val="맑은 고딕"/>
      <charset val="129"/>
      <family val="3"/>
      <sz val="11"/>
    </font>
    <font>
      <name val="맑은 고딕"/>
      <charset val="129"/>
      <family val="3"/>
      <color theme="1"/>
      <sz val="11"/>
      <scheme val="minor"/>
    </font>
    <font>
      <name val="맑은 고딕"/>
      <charset val="129"/>
      <family val="3"/>
      <color rgb="FF1F2A44"/>
      <sz val="9"/>
    </font>
    <font>
      <name val="맑은 고딕"/>
      <charset val="129"/>
      <family val="3"/>
      <sz val="14"/>
    </font>
    <font>
      <name val="맑은 고딕"/>
      <charset val="129"/>
      <family val="2"/>
      <b val="1"/>
      <color rgb="FF1F2A44"/>
      <sz val="15"/>
    </font>
    <font>
      <name val="맑은 고딕"/>
      <charset val="129"/>
      <family val="2"/>
      <color rgb="FF5A5A5A"/>
      <sz val="9"/>
    </font>
    <font>
      <name val="맑은 고딕"/>
      <charset val="129"/>
      <family val="2"/>
      <sz val="9"/>
    </font>
    <font>
      <name val="맑은 고딕"/>
      <charset val="129"/>
      <family val="2"/>
      <b val="1"/>
      <color rgb="FF1F2A44"/>
      <sz val="9"/>
    </font>
    <font>
      <name val="맑은 고딕"/>
      <charset val="129"/>
      <family val="2"/>
      <b val="1"/>
      <color rgb="FFFFFFFF"/>
      <sz val="9"/>
    </font>
    <font>
      <name val="맑은 고딕"/>
      <charset val="129"/>
      <family val="2"/>
      <b val="1"/>
      <sz val="9"/>
    </font>
    <font>
      <name val="맑은 고딕"/>
      <charset val="129"/>
      <family val="2"/>
      <i val="1"/>
      <color theme="0" tint="-0.249977111117893"/>
      <sz val="9"/>
    </font>
    <font>
      <name val="맑은 고딕"/>
      <charset val="129"/>
      <family val="2"/>
      <b val="1"/>
      <color rgb="FF44546A"/>
      <sz val="9"/>
    </font>
    <font>
      <name val="맑은 고딕"/>
      <charset val="129"/>
      <family val="2"/>
      <color rgb="FF000000"/>
      <sz val="9"/>
      <scheme val="minor"/>
    </font>
    <font>
      <name val="맑은 고딕"/>
      <charset val="129"/>
      <family val="2"/>
      <color rgb="FF808080"/>
      <sz val="9"/>
    </font>
    <font>
      <name val="맑은 고딕"/>
      <charset val="129"/>
      <family val="2"/>
      <color rgb="FF000000"/>
      <sz val="11"/>
      <scheme val="minor"/>
    </font>
    <font>
      <name val="맑은 고딕"/>
      <charset val="129"/>
      <family val="2"/>
      <sz val="9"/>
      <scheme val="minor"/>
    </font>
    <font>
      <name val="맑은 고딕"/>
      <charset val="129"/>
      <family val="2"/>
      <b val="1"/>
      <color rgb="FF1F6FB2"/>
      <sz val="9"/>
    </font>
    <font>
      <name val="맑은 고딕"/>
      <charset val="129"/>
      <family val="2"/>
      <sz val="11"/>
      <scheme val="minor"/>
    </font>
    <font>
      <name val="맑은 고딕"/>
      <charset val="129"/>
      <family val="2"/>
      <b val="1"/>
      <color rgb="FF44546A"/>
      <sz val="11"/>
    </font>
    <font>
      <name val="맑은 고딕"/>
      <charset val="129"/>
      <family val="2"/>
      <color rgb="FF1F6FB2"/>
      <sz val="9"/>
    </font>
    <font>
      <name val="맑은 고딕"/>
      <b val="1"/>
      <color rgb="FFFFFFFF"/>
      <sz val="9"/>
    </font>
    <font>
      <name val="맑은 고딕"/>
      <sz val="9"/>
    </font>
    <font>
      <name val="맑은 고딕"/>
      <b val="1"/>
      <color rgb="001F2A44"/>
      <sz val="15"/>
    </font>
    <font>
      <name val="맑은 고딕"/>
      <color rgb="005A5A5A"/>
      <sz val="9"/>
    </font>
    <font>
      <name val="맑은 고딕"/>
      <b val="1"/>
      <color rgb="00FFFFFF"/>
      <sz val="9"/>
    </font>
    <font>
      <name val="맑은 고딕"/>
      <b val="1"/>
      <sz val="9"/>
    </font>
    <font>
      <name val="맑은 고딕"/>
      <b val="1"/>
      <color rgb="009C0006"/>
      <sz val="9"/>
    </font>
    <font>
      <name val="맑은 고딕"/>
      <b val="1"/>
      <color rgb="001F2A44"/>
      <sz val="9"/>
    </font>
  </fonts>
  <fills count="18">
    <fill>
      <patternFill/>
    </fill>
    <fill>
      <patternFill patternType="gray125"/>
    </fill>
    <fill>
      <patternFill patternType="solid">
        <fgColor rgb="FF1F2A44"/>
      </patternFill>
    </fill>
    <fill>
      <patternFill patternType="solid">
        <fgColor rgb="FFD6DCE4"/>
      </patternFill>
    </fill>
    <fill>
      <patternFill patternType="solid">
        <fgColor rgb="FF44546A"/>
      </patternFill>
    </fill>
    <fill>
      <patternFill patternType="solid">
        <fgColor rgb="FFF2F2F2"/>
      </patternFill>
    </fill>
    <fill>
      <patternFill patternType="solid">
        <fgColor rgb="FFFAFAFA"/>
      </patternFill>
    </fill>
    <fill>
      <patternFill patternType="solid">
        <fgColor rgb="FFFFC7CE"/>
      </patternFill>
    </fill>
    <fill>
      <patternFill patternType="solid">
        <fgColor theme="9" tint="0.5999938962981048"/>
        <bgColor indexed="64"/>
      </patternFill>
    </fill>
    <fill>
      <patternFill patternType="solid">
        <fgColor rgb="FFFFFBEA"/>
      </patternFill>
    </fill>
    <fill>
      <patternFill patternType="solid">
        <fgColor rgb="FFFEF6DC"/>
      </patternFill>
    </fill>
    <fill>
      <patternFill patternType="solid">
        <fgColor theme="0"/>
        <bgColor indexed="64"/>
      </patternFill>
    </fill>
    <fill>
      <patternFill patternType="solid">
        <fgColor rgb="FFFFC000"/>
      </patternFill>
    </fill>
    <fill>
      <patternFill patternType="solid">
        <fgColor rgb="FFFFFF00"/>
      </patternFill>
    </fill>
    <fill>
      <patternFill patternType="solid">
        <fgColor rgb="001F2A44"/>
      </patternFill>
    </fill>
    <fill>
      <patternFill patternType="solid">
        <fgColor rgb="0044546A"/>
      </patternFill>
    </fill>
    <fill>
      <patternFill patternType="solid">
        <fgColor rgb="00FAFAFA"/>
      </patternFill>
    </fill>
    <fill>
      <patternFill patternType="solid">
        <fgColor rgb="00FFC7CE"/>
      </patternFill>
    </fill>
  </fills>
  <borders count="4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bottom/>
      <diagonal/>
    </border>
    <border>
      <left/>
      <right style="thin">
        <color rgb="FFBFBFBF"/>
      </right>
      <top style="thin">
        <color rgb="FFBFBFBF"/>
      </top>
      <bottom style="thin">
        <color rgb="FFBFBFBF"/>
      </bottom>
      <diagonal/>
    </border>
    <border>
      <left style="thin">
        <color rgb="FFBFBFBF"/>
      </left>
      <right style="thin">
        <color rgb="FFBFBFBF"/>
      </right>
      <top style="medium">
        <color rgb="FF44546A"/>
      </top>
      <bottom style="thin">
        <color rgb="FFBFBFBF"/>
      </bottom>
      <diagonal/>
    </border>
    <border>
      <left style="thin">
        <color rgb="FFBFBFBF"/>
      </left>
      <right style="thin">
        <color rgb="FFBFBFBF"/>
      </right>
      <top style="thin">
        <color rgb="FFBFBFBF"/>
      </top>
      <bottom style="medium">
        <color rgb="FF44546A"/>
      </bottom>
      <diagonal/>
    </border>
    <border>
      <left/>
      <right/>
      <top style="thin">
        <color rgb="FFBFBFBF"/>
      </top>
      <bottom style="thin">
        <color rgb="FFBFBFBF"/>
      </bottom>
      <diagonal/>
    </border>
    <border>
      <left/>
      <right/>
      <top style="thin">
        <color rgb="FFBFBFBF"/>
      </top>
      <bottom style="medium">
        <color rgb="FF44546A"/>
      </bottom>
      <diagonal/>
    </border>
    <border>
      <left/>
      <right style="thin">
        <color rgb="FFBFBFBF"/>
      </right>
      <top style="thin">
        <color rgb="FFBFBFBF"/>
      </top>
      <bottom style="medium">
        <color rgb="FF44546A"/>
      </bottom>
      <diagonal/>
    </border>
    <border>
      <left/>
      <right/>
      <top style="thin">
        <color rgb="FFBFBFBF"/>
      </top>
      <bottom/>
      <diagonal/>
    </border>
    <border>
      <left/>
      <right style="thin">
        <color rgb="FFBFBFBF"/>
      </right>
      <top style="thin">
        <color rgb="FFBFBFBF"/>
      </top>
      <bottom/>
      <diagonal/>
    </border>
    <border>
      <left style="thin">
        <color indexed="64"/>
      </left>
      <right style="thin">
        <color rgb="FFBFBFBF"/>
      </right>
      <top style="thin">
        <color indexed="64"/>
      </top>
      <bottom/>
      <diagonal/>
    </border>
    <border>
      <left style="thin">
        <color rgb="FFBFBFBF"/>
      </left>
      <right style="thin">
        <color rgb="FFBFBFBF"/>
      </right>
      <top style="thin">
        <color indexed="64"/>
      </top>
      <bottom/>
      <diagonal/>
    </border>
    <border>
      <left style="thin">
        <color rgb="FFBFBFBF"/>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rgb="FFBFBFBF"/>
      </right>
      <top style="medium">
        <color rgb="FF44546A"/>
      </top>
      <bottom style="thin">
        <color indexed="64"/>
      </bottom>
      <diagonal/>
    </border>
    <border>
      <left style="thin">
        <color rgb="FFBFBFBF"/>
      </left>
      <right style="thin">
        <color rgb="FFBFBFBF"/>
      </right>
      <top style="medium">
        <color rgb="FF44546A"/>
      </top>
      <bottom style="thin">
        <color indexed="64"/>
      </bottom>
      <diagonal/>
    </border>
    <border>
      <left style="thin">
        <color rgb="FFBFBFBF"/>
      </left>
      <right style="thin">
        <color indexed="64"/>
      </right>
      <top style="medium">
        <color rgb="FF44546A"/>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medium">
        <color rgb="FF44546A"/>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right/>
      <top style="thin">
        <color rgb="FFD0D0D0"/>
      </top>
      <bottom style="medium">
        <color rgb="FF44546A"/>
      </bottom>
      <diagonal/>
    </border>
    <border>
      <left/>
      <right style="thin">
        <color rgb="FFD0D0D0"/>
      </right>
      <top style="thin">
        <color rgb="FFD0D0D0"/>
      </top>
      <bottom style="medium">
        <color rgb="FF44546A"/>
      </bottom>
      <diagonal/>
    </border>
    <border>
      <left/>
      <right/>
      <top style="thin">
        <color rgb="FFD0D0D0"/>
      </top>
      <bottom/>
      <diagonal/>
    </border>
    <border>
      <left/>
      <right style="thin">
        <color rgb="FFD0D0D0"/>
      </right>
      <top style="thin">
        <color rgb="FFD0D0D0"/>
      </top>
      <bottom/>
      <diagonal/>
    </border>
    <border>
      <left style="thin"/>
      <right style="thin"/>
      <top style="thin"/>
      <bottom style="thin"/>
    </border>
    <border>
      <left/>
      <right/>
      <top style="thin"/>
      <bottom style="thin"/>
      <diagonal/>
    </border>
    <border>
      <left/>
      <right style="thin"/>
      <top style="thin"/>
      <bottom style="thin"/>
      <diagonal/>
    </border>
    <border>
      <left style="thin"/>
      <right style="thin"/>
      <top style="medium"/>
      <bottom style="thin"/>
    </border>
    <border>
      <left/>
      <right/>
      <top style="thin"/>
      <bottom/>
      <diagonal/>
    </border>
    <border>
      <left/>
      <right style="thin"/>
      <top style="thin"/>
      <bottom/>
      <diagonal/>
    </border>
    <border>
      <left style="thin">
        <color rgb="00BFBFBF"/>
      </left>
      <right style="thin">
        <color rgb="00BFBFBF"/>
      </right>
      <top style="medium">
        <color rgb="0044546A"/>
      </top>
      <bottom style="thin">
        <color rgb="00BFBFBF"/>
      </bottom>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medium">
        <color rgb="0044546A"/>
      </bottom>
    </border>
  </borders>
  <cellStyleXfs count="1">
    <xf numFmtId="0" fontId="0" fillId="0" borderId="0"/>
  </cellStyleXfs>
  <cellXfs count="24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xf>
    <xf numFmtId="0" fontId="3" fillId="0" borderId="1" applyAlignment="1" pivotButton="0" quotePrefix="0" xfId="0">
      <alignment vertical="top" wrapText="1"/>
    </xf>
    <xf numFmtId="0" fontId="0" fillId="0" borderId="2" pivotButton="0" quotePrefix="0" xfId="0"/>
    <xf numFmtId="0" fontId="0" fillId="0" borderId="3" pivotButton="0" quotePrefix="0" xfId="0"/>
    <xf numFmtId="0" fontId="3" fillId="0" borderId="1" applyAlignment="1" pivotButton="0" quotePrefix="0" xfId="0">
      <alignment horizontal="center" vertical="center"/>
    </xf>
    <xf numFmtId="0" fontId="0" fillId="0" borderId="5" pivotButton="0" quotePrefix="0" xfId="0"/>
    <xf numFmtId="14" fontId="3" fillId="0" borderId="1" applyAlignment="1" pivotButton="0" quotePrefix="0" xfId="0">
      <alignment horizontal="center" vertical="center"/>
    </xf>
    <xf numFmtId="0" fontId="6" fillId="4" borderId="6" applyAlignment="1" pivotButton="0" quotePrefix="0" xfId="0">
      <alignment horizontal="center" vertical="center"/>
    </xf>
    <xf numFmtId="0" fontId="6" fillId="4" borderId="0" applyAlignment="1" pivotButton="0" quotePrefix="0" xfId="0">
      <alignment horizontal="center" vertical="center"/>
    </xf>
    <xf numFmtId="0" fontId="3" fillId="0" borderId="1" pivotButton="0" quotePrefix="0" xfId="0"/>
    <xf numFmtId="0" fontId="3" fillId="5" borderId="1" pivotButton="0" quotePrefix="0" xfId="0"/>
    <xf numFmtId="0" fontId="3" fillId="5" borderId="1" applyAlignment="1" pivotButton="0" quotePrefix="0" xfId="0">
      <alignment horizontal="center" vertical="center"/>
    </xf>
    <xf numFmtId="3" fontId="3" fillId="5" borderId="1" applyAlignment="1" pivotButton="0" quotePrefix="0" xfId="0">
      <alignment horizontal="right" vertical="center"/>
    </xf>
    <xf numFmtId="164" fontId="3" fillId="5" borderId="1" applyAlignment="1" pivotButton="0" quotePrefix="0" xfId="0">
      <alignment horizontal="right" vertical="center"/>
    </xf>
    <xf numFmtId="10" fontId="3" fillId="5" borderId="1" applyAlignment="1" pivotButton="0" quotePrefix="0" xfId="0">
      <alignment horizontal="right" vertical="center"/>
    </xf>
    <xf numFmtId="165" fontId="3" fillId="5" borderId="1" applyAlignment="1" pivotButton="0" quotePrefix="0" xfId="0">
      <alignment horizontal="right" vertical="center"/>
    </xf>
    <xf numFmtId="10" fontId="3" fillId="0" borderId="1" applyAlignment="1" pivotButton="0" quotePrefix="0" xfId="0">
      <alignment vertical="top" wrapText="1"/>
    </xf>
    <xf numFmtId="0" fontId="3" fillId="0" borderId="0" applyAlignment="1" pivotButton="0" quotePrefix="0" xfId="0">
      <alignment vertical="top" wrapText="1"/>
    </xf>
    <xf numFmtId="0" fontId="3" fillId="6" borderId="1" pivotButton="0" quotePrefix="0" xfId="0"/>
    <xf numFmtId="9" fontId="3" fillId="6" borderId="1" applyAlignment="1" pivotButton="0" quotePrefix="0" xfId="0">
      <alignment vertical="top" wrapText="1"/>
    </xf>
    <xf numFmtId="10" fontId="3" fillId="6" borderId="1" applyAlignment="1" pivotButton="0" quotePrefix="0" xfId="0">
      <alignment vertical="top" wrapText="1"/>
    </xf>
    <xf numFmtId="0" fontId="3" fillId="6" borderId="1" applyAlignment="1" pivotButton="0" quotePrefix="0" xfId="0">
      <alignment vertical="top" wrapText="1"/>
    </xf>
    <xf numFmtId="0" fontId="3" fillId="6" borderId="0" applyAlignment="1" pivotButton="0" quotePrefix="0" xfId="0">
      <alignment vertical="top" wrapText="1"/>
    </xf>
    <xf numFmtId="0" fontId="7" fillId="7" borderId="1" applyAlignment="1" pivotButton="0" quotePrefix="0" xfId="0">
      <alignment horizontal="center" vertical="center"/>
    </xf>
    <xf numFmtId="9" fontId="3" fillId="0" borderId="1" applyAlignment="1" pivotButton="0" quotePrefix="0" xfId="0">
      <alignment vertical="top" wrapText="1"/>
    </xf>
    <xf numFmtId="0" fontId="3" fillId="6" borderId="7" pivotButton="0" quotePrefix="0" xfId="0"/>
    <xf numFmtId="0" fontId="3" fillId="5" borderId="7" pivotButton="0" quotePrefix="0" xfId="0"/>
    <xf numFmtId="0" fontId="3" fillId="5" borderId="7" applyAlignment="1" pivotButton="0" quotePrefix="0" xfId="0">
      <alignment horizontal="center" vertical="center"/>
    </xf>
    <xf numFmtId="3" fontId="3" fillId="5" borderId="7" applyAlignment="1" pivotButton="0" quotePrefix="0" xfId="0">
      <alignment horizontal="right" vertical="center"/>
    </xf>
    <xf numFmtId="164" fontId="3" fillId="5" borderId="7" applyAlignment="1" pivotButton="0" quotePrefix="0" xfId="0">
      <alignment horizontal="right" vertical="center"/>
    </xf>
    <xf numFmtId="10" fontId="3" fillId="5" borderId="7" applyAlignment="1" pivotButton="0" quotePrefix="0" xfId="0">
      <alignment horizontal="right" vertical="center"/>
    </xf>
    <xf numFmtId="165" fontId="3" fillId="5" borderId="7" applyAlignment="1" pivotButton="0" quotePrefix="0" xfId="0">
      <alignment horizontal="right" vertical="center"/>
    </xf>
    <xf numFmtId="0" fontId="3" fillId="6" borderId="7" applyAlignment="1" pivotButton="0" quotePrefix="0" xfId="0">
      <alignment vertical="top" wrapText="1"/>
    </xf>
    <xf numFmtId="0" fontId="6" fillId="4" borderId="6" pivotButton="0" quotePrefix="0" xfId="0"/>
    <xf numFmtId="0" fontId="6" fillId="4" borderId="0" pivotButton="0" quotePrefix="0" xfId="0"/>
    <xf numFmtId="0" fontId="8" fillId="0" borderId="1" applyAlignment="1" pivotButton="0" quotePrefix="0" xfId="0">
      <alignment vertical="top" wrapText="1"/>
    </xf>
    <xf numFmtId="0" fontId="0" fillId="0" borderId="8" pivotButton="0" quotePrefix="0" xfId="0"/>
    <xf numFmtId="0" fontId="9" fillId="0" borderId="1" applyAlignment="1" pivotButton="0" quotePrefix="0" xfId="0">
      <alignment vertical="top" wrapText="1"/>
    </xf>
    <xf numFmtId="0" fontId="4" fillId="3" borderId="7" applyAlignment="1" pivotButton="0" quotePrefix="0" xfId="0">
      <alignment horizontal="center" vertical="center"/>
    </xf>
    <xf numFmtId="0" fontId="3" fillId="0" borderId="7" applyAlignment="1" pivotButton="0" quotePrefix="0" xfId="0">
      <alignment horizontal="center" vertical="center"/>
    </xf>
    <xf numFmtId="0" fontId="3" fillId="0" borderId="7" applyAlignment="1" pivotButton="0" quotePrefix="0" xfId="0">
      <alignment vertical="top" wrapText="1"/>
    </xf>
    <xf numFmtId="0" fontId="0" fillId="0" borderId="9" pivotButton="0" quotePrefix="0" xfId="0"/>
    <xf numFmtId="0" fontId="0" fillId="0" borderId="10" pivotButton="0" quotePrefix="0" xfId="0"/>
    <xf numFmtId="0" fontId="10" fillId="4" borderId="13" applyAlignment="1" pivotButton="0" quotePrefix="0" xfId="0">
      <alignment horizontal="center" vertical="center"/>
    </xf>
    <xf numFmtId="0" fontId="10" fillId="4" borderId="14" applyAlignment="1" pivotButton="0" quotePrefix="0" xfId="0">
      <alignment horizontal="center" vertical="center"/>
    </xf>
    <xf numFmtId="0" fontId="10" fillId="4" borderId="15" applyAlignment="1" pivotButton="0" quotePrefix="0" xfId="0">
      <alignment horizontal="center" vertical="center"/>
    </xf>
    <xf numFmtId="0" fontId="3" fillId="0" borderId="16" applyAlignment="1" pivotButton="0" quotePrefix="0" xfId="0">
      <alignment horizontal="right" vertical="center"/>
    </xf>
    <xf numFmtId="0" fontId="3" fillId="5" borderId="16" applyAlignment="1" pivotButton="0" quotePrefix="0" xfId="0">
      <alignment horizontal="right" vertical="center"/>
    </xf>
    <xf numFmtId="3" fontId="3" fillId="5" borderId="16" applyAlignment="1" pivotButton="0" quotePrefix="0" xfId="0">
      <alignment horizontal="right" vertical="center"/>
    </xf>
    <xf numFmtId="164" fontId="3" fillId="5" borderId="16" applyAlignment="1" pivotButton="0" quotePrefix="0" xfId="0">
      <alignment horizontal="right" vertical="center"/>
    </xf>
    <xf numFmtId="10" fontId="3" fillId="5" borderId="16" applyAlignment="1" pivotButton="0" quotePrefix="0" xfId="0">
      <alignment horizontal="right" vertical="center"/>
    </xf>
    <xf numFmtId="165" fontId="3" fillId="5" borderId="16" applyAlignment="1" pivotButton="0" quotePrefix="0" xfId="0">
      <alignment horizontal="right" vertical="center"/>
    </xf>
    <xf numFmtId="10" fontId="3" fillId="0" borderId="16" applyAlignment="1" pivotButton="0" quotePrefix="0" xfId="0">
      <alignment horizontal="right" vertical="center" wrapText="1"/>
    </xf>
    <xf numFmtId="0" fontId="3" fillId="0" borderId="16" applyAlignment="1" pivotButton="0" quotePrefix="0" xfId="0">
      <alignment horizontal="right" vertical="center" wrapText="1"/>
    </xf>
    <xf numFmtId="0" fontId="11" fillId="0" borderId="16" applyAlignment="1" pivotButton="0" quotePrefix="0" xfId="0">
      <alignment horizontal="right" vertical="center" wrapText="1"/>
    </xf>
    <xf numFmtId="0" fontId="12" fillId="0" borderId="16" applyAlignment="1" pivotButton="0" quotePrefix="0" xfId="0">
      <alignment horizontal="right" vertical="center" wrapText="1"/>
    </xf>
    <xf numFmtId="0" fontId="12" fillId="0" borderId="0" applyAlignment="1" pivotButton="0" quotePrefix="0" xfId="0">
      <alignment horizontal="right" vertical="center" wrapText="1"/>
    </xf>
    <xf numFmtId="0" fontId="3" fillId="0" borderId="16" applyAlignment="1" pivotButton="0" quotePrefix="0" xfId="0">
      <alignment horizontal="center" vertical="center" wrapText="1"/>
    </xf>
    <xf numFmtId="0" fontId="3" fillId="6" borderId="16" applyAlignment="1" pivotButton="0" quotePrefix="0" xfId="0">
      <alignment horizontal="right" vertical="center"/>
    </xf>
    <xf numFmtId="10" fontId="3" fillId="6" borderId="16" applyAlignment="1" pivotButton="0" quotePrefix="0" xfId="0">
      <alignment horizontal="right" vertical="center" wrapText="1"/>
    </xf>
    <xf numFmtId="0" fontId="3" fillId="6" borderId="16" applyAlignment="1" pivotButton="0" quotePrefix="0" xfId="0">
      <alignment horizontal="right" vertical="center" wrapText="1"/>
    </xf>
    <xf numFmtId="0" fontId="11" fillId="6" borderId="16" applyAlignment="1" pivotButton="0" quotePrefix="0" xfId="0">
      <alignment horizontal="right" vertical="center" wrapText="1"/>
    </xf>
    <xf numFmtId="0" fontId="3" fillId="6" borderId="16" applyAlignment="1" pivotButton="0" quotePrefix="0" xfId="0">
      <alignment horizontal="center" vertical="center" wrapText="1"/>
    </xf>
    <xf numFmtId="0" fontId="12" fillId="0" borderId="17" pivotButton="0" quotePrefix="0" xfId="0"/>
    <xf numFmtId="0" fontId="12" fillId="0" borderId="0" pivotButton="0" quotePrefix="0" xfId="0"/>
    <xf numFmtId="0" fontId="12" fillId="0" borderId="18" pivotButton="0" quotePrefix="0" xfId="0"/>
    <xf numFmtId="0" fontId="10" fillId="4" borderId="19" pivotButton="0" quotePrefix="0" xfId="0"/>
    <xf numFmtId="0" fontId="10" fillId="4" borderId="20" pivotButton="0" quotePrefix="0" xfId="0"/>
    <xf numFmtId="0" fontId="10" fillId="4" borderId="21" pivotButton="0" quotePrefix="0" xfId="0"/>
    <xf numFmtId="0" fontId="13" fillId="3" borderId="16" applyAlignment="1" pivotButton="0" quotePrefix="0" xfId="0">
      <alignment horizontal="center" vertical="center"/>
    </xf>
    <xf numFmtId="0" fontId="3" fillId="0" borderId="16" applyAlignment="1" pivotButton="0" quotePrefix="0" xfId="0">
      <alignment horizontal="center" vertical="center"/>
    </xf>
    <xf numFmtId="0" fontId="14" fillId="0" borderId="16" applyAlignment="1" pivotButton="0" quotePrefix="0" xfId="0">
      <alignment vertical="top" wrapText="1"/>
    </xf>
    <xf numFmtId="0" fontId="0" fillId="0" borderId="22" pivotButton="0" quotePrefix="0" xfId="0"/>
    <xf numFmtId="0" fontId="0" fillId="0" borderId="23" pivotButton="0" quotePrefix="0" xfId="0"/>
    <xf numFmtId="0" fontId="15" fillId="0" borderId="0" pivotButton="0" quotePrefix="0" xfId="0"/>
    <xf numFmtId="0" fontId="16" fillId="0" borderId="0" pivotButton="0" quotePrefix="0" xfId="0"/>
    <xf numFmtId="0" fontId="17" fillId="2" borderId="0" pivotButton="0" quotePrefix="0" xfId="0"/>
    <xf numFmtId="0" fontId="18" fillId="3" borderId="1" applyAlignment="1" pivotButton="0" quotePrefix="0" xfId="0">
      <alignment horizontal="center" vertical="center"/>
    </xf>
    <xf numFmtId="0" fontId="17" fillId="0" borderId="1" applyAlignment="1" pivotButton="0" quotePrefix="0" xfId="0">
      <alignment horizontal="center" vertical="center"/>
    </xf>
    <xf numFmtId="14" fontId="17" fillId="0" borderId="1" applyAlignment="1" pivotButton="0" quotePrefix="0" xfId="0">
      <alignment horizontal="center" vertical="center"/>
    </xf>
    <xf numFmtId="0" fontId="19" fillId="4" borderId="6" applyAlignment="1" pivotButton="0" quotePrefix="0" xfId="0">
      <alignment horizontal="center" vertical="center"/>
    </xf>
    <xf numFmtId="0" fontId="17" fillId="0" borderId="1" pivotButton="0" quotePrefix="0" xfId="0"/>
    <xf numFmtId="0" fontId="20" fillId="5" borderId="1" pivotButton="0" quotePrefix="0" xfId="0"/>
    <xf numFmtId="0" fontId="17" fillId="5" borderId="1" applyAlignment="1" pivotButton="0" quotePrefix="0" xfId="0">
      <alignment horizontal="center" vertical="center"/>
    </xf>
    <xf numFmtId="3" fontId="17" fillId="5" borderId="1" applyAlignment="1" pivotButton="0" quotePrefix="0" xfId="0">
      <alignment horizontal="right" vertical="center"/>
    </xf>
    <xf numFmtId="164" fontId="17" fillId="5" borderId="1" applyAlignment="1" pivotButton="0" quotePrefix="0" xfId="0">
      <alignment horizontal="right" vertical="center"/>
    </xf>
    <xf numFmtId="10" fontId="17" fillId="5" borderId="1" applyAlignment="1" pivotButton="0" quotePrefix="0" xfId="0">
      <alignment horizontal="right" vertical="center"/>
    </xf>
    <xf numFmtId="165" fontId="17" fillId="5" borderId="1" applyAlignment="1" pivotButton="0" quotePrefix="0" xfId="0">
      <alignment horizontal="right" vertical="center"/>
    </xf>
    <xf numFmtId="10" fontId="17" fillId="0" borderId="1" applyAlignment="1" pivotButton="0" quotePrefix="0" xfId="0">
      <alignment vertical="top" wrapText="1"/>
    </xf>
    <xf numFmtId="0" fontId="17" fillId="0" borderId="1" applyAlignment="1" pivotButton="0" quotePrefix="0" xfId="0">
      <alignment vertical="top" wrapText="1"/>
    </xf>
    <xf numFmtId="0" fontId="17" fillId="6" borderId="1" pivotButton="0" quotePrefix="0" xfId="0"/>
    <xf numFmtId="10" fontId="17" fillId="6" borderId="1" applyAlignment="1" pivotButton="0" quotePrefix="0" xfId="0">
      <alignment vertical="top" wrapText="1"/>
    </xf>
    <xf numFmtId="0" fontId="17" fillId="6" borderId="1" applyAlignment="1" pivotButton="0" quotePrefix="0" xfId="0">
      <alignment vertical="top" wrapText="1"/>
    </xf>
    <xf numFmtId="0" fontId="17" fillId="5" borderId="1" pivotButton="0" quotePrefix="0" xfId="0"/>
    <xf numFmtId="0" fontId="21" fillId="5" borderId="1" pivotButton="0" quotePrefix="0" xfId="0"/>
    <xf numFmtId="0" fontId="21" fillId="5" borderId="1" applyAlignment="1" pivotButton="0" quotePrefix="0" xfId="0">
      <alignment horizontal="center" vertical="center"/>
    </xf>
    <xf numFmtId="3" fontId="21" fillId="5" borderId="1" applyAlignment="1" pivotButton="0" quotePrefix="0" xfId="0">
      <alignment horizontal="right" vertical="center"/>
    </xf>
    <xf numFmtId="164" fontId="21" fillId="5" borderId="1" applyAlignment="1" pivotButton="0" quotePrefix="0" xfId="0">
      <alignment horizontal="right" vertical="center"/>
    </xf>
    <xf numFmtId="10" fontId="21" fillId="5" borderId="1" applyAlignment="1" pivotButton="0" quotePrefix="0" xfId="0">
      <alignment horizontal="right" vertical="center"/>
    </xf>
    <xf numFmtId="165" fontId="21" fillId="5" borderId="1" applyAlignment="1" pivotButton="0" quotePrefix="0" xfId="0">
      <alignment horizontal="right" vertical="center"/>
    </xf>
    <xf numFmtId="0" fontId="17" fillId="0" borderId="7" pivotButton="0" quotePrefix="0" xfId="0"/>
    <xf numFmtId="0" fontId="21" fillId="5" borderId="7" pivotButton="0" quotePrefix="0" xfId="0"/>
    <xf numFmtId="0" fontId="21" fillId="5" borderId="7" applyAlignment="1" pivotButton="0" quotePrefix="0" xfId="0">
      <alignment horizontal="center" vertical="center"/>
    </xf>
    <xf numFmtId="3" fontId="21" fillId="5" borderId="7" applyAlignment="1" pivotButton="0" quotePrefix="0" xfId="0">
      <alignment horizontal="right" vertical="center"/>
    </xf>
    <xf numFmtId="164" fontId="21" fillId="5" borderId="7" applyAlignment="1" pivotButton="0" quotePrefix="0" xfId="0">
      <alignment horizontal="right" vertical="center"/>
    </xf>
    <xf numFmtId="10" fontId="21" fillId="5" borderId="7" applyAlignment="1" pivotButton="0" quotePrefix="0" xfId="0">
      <alignment horizontal="right" vertical="center"/>
    </xf>
    <xf numFmtId="165" fontId="21" fillId="5" borderId="7" applyAlignment="1" pivotButton="0" quotePrefix="0" xfId="0">
      <alignment horizontal="right" vertical="center"/>
    </xf>
    <xf numFmtId="10" fontId="17" fillId="0" borderId="7" applyAlignment="1" pivotButton="0" quotePrefix="0" xfId="0">
      <alignment vertical="top" wrapText="1"/>
    </xf>
    <xf numFmtId="0" fontId="17" fillId="0" borderId="7" applyAlignment="1" pivotButton="0" quotePrefix="0" xfId="0">
      <alignment vertical="top" wrapText="1"/>
    </xf>
    <xf numFmtId="0" fontId="19" fillId="4" borderId="6" pivotButton="0" quotePrefix="0" xfId="0"/>
    <xf numFmtId="0" fontId="16" fillId="0" borderId="1" applyAlignment="1" pivotButton="0" quotePrefix="0" xfId="0">
      <alignment vertical="top" wrapText="1"/>
    </xf>
    <xf numFmtId="0" fontId="18" fillId="3" borderId="7" applyAlignment="1" pivotButton="0" quotePrefix="0" xfId="0">
      <alignment horizontal="center" vertical="center"/>
    </xf>
    <xf numFmtId="0" fontId="17" fillId="0" borderId="7" applyAlignment="1" pivotButton="0" quotePrefix="0" xfId="0">
      <alignment horizontal="center" vertical="center"/>
    </xf>
    <xf numFmtId="0" fontId="2" fillId="0" borderId="1" applyAlignment="1" pivotButton="0" quotePrefix="0" xfId="0">
      <alignment vertical="top" wrapText="1"/>
    </xf>
    <xf numFmtId="0" fontId="17" fillId="2" borderId="0" applyAlignment="1" pivotButton="0" quotePrefix="0" xfId="0">
      <alignment horizontal="center" vertical="center"/>
    </xf>
    <xf numFmtId="166" fontId="17" fillId="0" borderId="1" applyAlignment="1" pivotButton="0" quotePrefix="0" xfId="0">
      <alignment horizontal="center" vertical="center"/>
    </xf>
    <xf numFmtId="0" fontId="16" fillId="0" borderId="0" applyAlignment="1" pivotButton="0" quotePrefix="0" xfId="0">
      <alignment vertical="top" wrapText="1"/>
    </xf>
    <xf numFmtId="0" fontId="22" fillId="0" borderId="0" applyAlignment="1" pivotButton="0" quotePrefix="0" xfId="0">
      <alignment horizontal="right" vertical="center"/>
    </xf>
    <xf numFmtId="0" fontId="19" fillId="4" borderId="26" applyAlignment="1" pivotButton="0" quotePrefix="0" xfId="0">
      <alignment horizontal="center" vertical="center" wrapText="1"/>
    </xf>
    <xf numFmtId="0" fontId="17" fillId="0" borderId="1" applyAlignment="1" pivotButton="0" quotePrefix="0" xfId="0">
      <alignment horizontal="center" vertical="center" wrapText="1"/>
    </xf>
    <xf numFmtId="3" fontId="17" fillId="5" borderId="1" applyAlignment="1" pivotButton="0" quotePrefix="0" xfId="0">
      <alignment horizontal="center" vertical="center"/>
    </xf>
    <xf numFmtId="164" fontId="17" fillId="5" borderId="1" applyAlignment="1" pivotButton="0" quotePrefix="0" xfId="0">
      <alignment horizontal="center" vertical="center"/>
    </xf>
    <xf numFmtId="10" fontId="17" fillId="5" borderId="1" applyAlignment="1" pivotButton="0" quotePrefix="0" xfId="0">
      <alignment horizontal="center" vertical="center"/>
    </xf>
    <xf numFmtId="165" fontId="17" fillId="5" borderId="1" applyAlignment="1" pivotButton="0" quotePrefix="0" xfId="0">
      <alignment horizontal="center" vertical="center"/>
    </xf>
    <xf numFmtId="165" fontId="17" fillId="0" borderId="1" applyAlignment="1" pivotButton="0" quotePrefix="0" xfId="0">
      <alignment horizontal="center" vertical="center"/>
    </xf>
    <xf numFmtId="167" fontId="17" fillId="6" borderId="1" applyAlignment="1" pivotButton="0" quotePrefix="0" xfId="0">
      <alignment horizontal="center" vertical="center"/>
    </xf>
    <xf numFmtId="0" fontId="23" fillId="0" borderId="0" applyAlignment="1" pivotButton="0" quotePrefix="0" xfId="0">
      <alignment horizontal="center" vertical="center"/>
    </xf>
    <xf numFmtId="0" fontId="17" fillId="0" borderId="1" applyAlignment="1" pivotButton="0" quotePrefix="0" xfId="0">
      <alignment vertical="center" wrapText="1"/>
    </xf>
    <xf numFmtId="0" fontId="24" fillId="0" borderId="1" applyAlignment="1" pivotButton="0" quotePrefix="0" xfId="0">
      <alignment horizontal="center" vertical="center"/>
    </xf>
    <xf numFmtId="0" fontId="25" fillId="8" borderId="26" applyAlignment="1" pivotButton="0" quotePrefix="0" xfId="0">
      <alignment horizontal="center" vertical="center"/>
    </xf>
    <xf numFmtId="0" fontId="17" fillId="6" borderId="1" applyAlignment="1" pivotButton="0" quotePrefix="0" xfId="0">
      <alignment horizontal="center" vertical="center" wrapText="1"/>
    </xf>
    <xf numFmtId="165" fontId="17" fillId="6" borderId="1" applyAlignment="1" pivotButton="0" quotePrefix="0" xfId="0">
      <alignment horizontal="center" vertical="center"/>
    </xf>
    <xf numFmtId="167" fontId="17" fillId="0" borderId="1" applyAlignment="1" pivotButton="0" quotePrefix="0" xfId="0">
      <alignment horizontal="center" vertical="center"/>
    </xf>
    <xf numFmtId="0" fontId="17" fillId="6" borderId="1" applyAlignment="1" pivotButton="0" quotePrefix="0" xfId="0">
      <alignment vertical="center" wrapText="1"/>
    </xf>
    <xf numFmtId="0" fontId="24" fillId="6" borderId="1" applyAlignment="1" pivotButton="0" quotePrefix="0" xfId="0">
      <alignment horizontal="center" vertical="center"/>
    </xf>
    <xf numFmtId="3" fontId="25" fillId="8" borderId="26" applyAlignment="1" pivotButton="0" quotePrefix="0" xfId="0">
      <alignment horizontal="center" vertical="center"/>
    </xf>
    <xf numFmtId="0" fontId="26" fillId="0" borderId="1" applyAlignment="1" pivotButton="0" quotePrefix="0" xfId="0">
      <alignment horizontal="center" vertical="center"/>
    </xf>
    <xf numFmtId="0" fontId="26" fillId="6" borderId="1" applyAlignment="1" pivotButton="0" quotePrefix="0" xfId="0">
      <alignment horizontal="center" vertical="center"/>
    </xf>
    <xf numFmtId="0" fontId="27" fillId="6" borderId="1" applyAlignment="1" pivotButton="0" quotePrefix="0" xfId="0">
      <alignment horizontal="center" vertical="center"/>
    </xf>
    <xf numFmtId="0" fontId="17" fillId="0" borderId="1" applyAlignment="1" pivotButton="0" quotePrefix="0" xfId="0">
      <alignment horizontal="left" vertical="center" wrapText="1"/>
    </xf>
    <xf numFmtId="3" fontId="28" fillId="8" borderId="26" applyAlignment="1" pivotButton="0" quotePrefix="0" xfId="0">
      <alignment horizontal="center" vertical="center"/>
    </xf>
    <xf numFmtId="0" fontId="27" fillId="0" borderId="1" applyAlignment="1" pivotButton="0" quotePrefix="0" xfId="0">
      <alignment horizontal="center" vertical="center"/>
    </xf>
    <xf numFmtId="3" fontId="17" fillId="9" borderId="26" applyAlignment="1" pivotButton="0" quotePrefix="0" xfId="0">
      <alignment horizontal="right" vertical="center"/>
    </xf>
    <xf numFmtId="3" fontId="17" fillId="10" borderId="26" applyAlignment="1" pivotButton="0" quotePrefix="0" xfId="0">
      <alignment horizontal="right" vertical="center"/>
    </xf>
    <xf numFmtId="0" fontId="17" fillId="0" borderId="7" applyAlignment="1" pivotButton="0" quotePrefix="0" xfId="0">
      <alignment horizontal="center" vertical="center" wrapText="1"/>
    </xf>
    <xf numFmtId="0" fontId="17" fillId="5" borderId="7" applyAlignment="1" pivotButton="0" quotePrefix="0" xfId="0">
      <alignment horizontal="center" vertical="center"/>
    </xf>
    <xf numFmtId="3" fontId="17" fillId="5" borderId="7" applyAlignment="1" pivotButton="0" quotePrefix="0" xfId="0">
      <alignment horizontal="center" vertical="center"/>
    </xf>
    <xf numFmtId="164" fontId="17" fillId="5" borderId="7" applyAlignment="1" pivotButton="0" quotePrefix="0" xfId="0">
      <alignment horizontal="center" vertical="center"/>
    </xf>
    <xf numFmtId="10" fontId="17" fillId="5" borderId="7" applyAlignment="1" pivotButton="0" quotePrefix="0" xfId="0">
      <alignment horizontal="center" vertical="center"/>
    </xf>
    <xf numFmtId="165" fontId="17" fillId="5" borderId="7" applyAlignment="1" pivotButton="0" quotePrefix="0" xfId="0">
      <alignment horizontal="center" vertical="center"/>
    </xf>
    <xf numFmtId="165" fontId="17" fillId="0" borderId="7" applyAlignment="1" pivotButton="0" quotePrefix="0" xfId="0">
      <alignment horizontal="center" vertical="center"/>
    </xf>
    <xf numFmtId="3" fontId="17" fillId="10" borderId="27" applyAlignment="1" pivotButton="0" quotePrefix="0" xfId="0">
      <alignment horizontal="right" vertical="center"/>
    </xf>
    <xf numFmtId="0" fontId="29" fillId="4" borderId="6" pivotButton="0" quotePrefix="0" xfId="0"/>
    <xf numFmtId="0" fontId="30" fillId="11" borderId="26" applyAlignment="1" pivotButton="0" quotePrefix="0" xfId="0">
      <alignment horizontal="center" vertical="center" wrapText="1"/>
    </xf>
    <xf numFmtId="0" fontId="17" fillId="11" borderId="26" applyAlignment="1" pivotButton="0" quotePrefix="0" xfId="0">
      <alignment horizontal="center" vertical="center" wrapText="1"/>
    </xf>
    <xf numFmtId="0" fontId="24" fillId="11" borderId="26" applyAlignment="1" pivotButton="0" quotePrefix="0" xfId="0">
      <alignment horizontal="center" vertical="center" wrapText="1"/>
    </xf>
    <xf numFmtId="0" fontId="17" fillId="11" borderId="26" applyAlignment="1" pivotButton="0" quotePrefix="0" xfId="0">
      <alignment vertical="center" wrapText="1"/>
    </xf>
    <xf numFmtId="0" fontId="0" fillId="0" borderId="28" pivotButton="0" quotePrefix="0" xfId="0"/>
    <xf numFmtId="0" fontId="0" fillId="0" borderId="29" pivotButton="0" quotePrefix="0" xfId="0"/>
    <xf numFmtId="0" fontId="30" fillId="11" borderId="27" applyAlignment="1" pivotButton="0" quotePrefix="0" xfId="0">
      <alignment horizontal="center" vertical="center" wrapText="1"/>
    </xf>
    <xf numFmtId="0" fontId="17" fillId="11" borderId="27" applyAlignment="1" pivotButton="0" quotePrefix="0" xfId="0">
      <alignment horizontal="center" vertical="center" wrapText="1"/>
    </xf>
    <xf numFmtId="0" fontId="24" fillId="11" borderId="27" applyAlignment="1" pivotButton="0" quotePrefix="0" xfId="0">
      <alignment horizontal="center" vertical="center" wrapText="1"/>
    </xf>
    <xf numFmtId="0" fontId="17" fillId="11" borderId="27" applyAlignment="1" pivotButton="0" quotePrefix="0" xfId="0">
      <alignment vertical="center" wrapText="1"/>
    </xf>
    <xf numFmtId="0" fontId="0" fillId="0" borderId="30" pivotButton="0" quotePrefix="0" xfId="0"/>
    <xf numFmtId="0" fontId="0" fillId="0" borderId="31" pivotButton="0" quotePrefix="0" xfId="0"/>
    <xf numFmtId="0" fontId="2" fillId="0" borderId="0" applyAlignment="1" pivotButton="0" quotePrefix="0" xfId="0">
      <alignment vertical="top" wrapText="1"/>
    </xf>
    <xf numFmtId="0" fontId="31" fillId="4" borderId="34" applyAlignment="1" pivotButton="0" quotePrefix="0" xfId="0">
      <alignment horizontal="center" vertical="center"/>
    </xf>
    <xf numFmtId="0" fontId="0" fillId="0" borderId="35" pivotButton="0" quotePrefix="0" xfId="0"/>
    <xf numFmtId="0" fontId="0" fillId="0" borderId="36" pivotButton="0" quotePrefix="0" xfId="0"/>
    <xf numFmtId="0" fontId="6" fillId="4" borderId="6" applyAlignment="1" pivotButton="0" quotePrefix="0" xfId="0">
      <alignment horizontal="center" vertical="center" wrapText="1"/>
    </xf>
    <xf numFmtId="0" fontId="31" fillId="4" borderId="37" applyAlignment="1" pivotButton="0" quotePrefix="0" xfId="0">
      <alignment horizontal="center" vertical="center"/>
    </xf>
    <xf numFmtId="0" fontId="3" fillId="12" borderId="1" pivotButton="0" quotePrefix="0" xfId="0"/>
    <xf numFmtId="165" fontId="3" fillId="0" borderId="1" applyAlignment="1" pivotButton="0" quotePrefix="0" xfId="0">
      <alignment horizontal="right" vertical="center" wrapText="1"/>
    </xf>
    <xf numFmtId="0" fontId="3" fillId="0" borderId="1" applyAlignment="1" pivotButton="0" quotePrefix="0" xfId="0">
      <alignment horizontal="right" vertical="center" wrapText="1"/>
    </xf>
    <xf numFmtId="0" fontId="3" fillId="5" borderId="1" applyAlignment="1" pivotButton="0" quotePrefix="0" xfId="0">
      <alignment vertical="top" wrapText="1"/>
    </xf>
    <xf numFmtId="2" fontId="32" fillId="0" borderId="34" applyAlignment="1" pivotButton="0" quotePrefix="0" xfId="0">
      <alignment horizontal="center" vertical="center"/>
    </xf>
    <xf numFmtId="165" fontId="32" fillId="0" borderId="34" applyAlignment="1" pivotButton="0" quotePrefix="0" xfId="0">
      <alignment horizontal="center" vertical="center"/>
    </xf>
    <xf numFmtId="164" fontId="32" fillId="0" borderId="34" applyAlignment="1" pivotButton="0" quotePrefix="0" xfId="0">
      <alignment horizontal="center" vertical="center"/>
    </xf>
    <xf numFmtId="165" fontId="3" fillId="6" borderId="1" applyAlignment="1" pivotButton="0" quotePrefix="0" xfId="0">
      <alignment horizontal="right" vertical="center" wrapText="1"/>
    </xf>
    <xf numFmtId="0" fontId="3" fillId="6" borderId="1" applyAlignment="1" pivotButton="0" quotePrefix="0" xfId="0">
      <alignment horizontal="right" vertical="center" wrapText="1"/>
    </xf>
    <xf numFmtId="0" fontId="3" fillId="13" borderId="1" pivotButton="0" quotePrefix="0" xfId="0"/>
    <xf numFmtId="0" fontId="32" fillId="0" borderId="34" applyAlignment="1" pivotButton="0" quotePrefix="0" xfId="0">
      <alignment horizontal="center" vertical="center"/>
    </xf>
    <xf numFmtId="0" fontId="3" fillId="12" borderId="7" pivotButton="0" quotePrefix="0" xfId="0"/>
    <xf numFmtId="165" fontId="3" fillId="6" borderId="7" applyAlignment="1" pivotButton="0" quotePrefix="0" xfId="0">
      <alignment horizontal="right" vertical="center" wrapText="1"/>
    </xf>
    <xf numFmtId="0" fontId="3" fillId="6" borderId="7" applyAlignment="1" pivotButton="0" quotePrefix="0" xfId="0">
      <alignment horizontal="right" vertical="center" wrapText="1"/>
    </xf>
    <xf numFmtId="0" fontId="3" fillId="5" borderId="7" applyAlignment="1" pivotButton="0" quotePrefix="0" xfId="0">
      <alignment vertical="top" wrapText="1"/>
    </xf>
    <xf numFmtId="0" fontId="3" fillId="0" borderId="7" applyAlignment="1" pivotButton="0" quotePrefix="0" xfId="0">
      <alignment horizontal="right" vertical="center" wrapText="1"/>
    </xf>
    <xf numFmtId="0" fontId="33" fillId="0" borderId="0" pivotButton="0" quotePrefix="0" xfId="0"/>
    <xf numFmtId="0" fontId="34" fillId="0" borderId="0" pivotButton="0" quotePrefix="0" xfId="0"/>
    <xf numFmtId="0" fontId="32" fillId="14" borderId="0" pivotButton="0" quotePrefix="0" xfId="0"/>
    <xf numFmtId="0" fontId="35" fillId="15" borderId="40" applyAlignment="1" pivotButton="0" quotePrefix="0" xfId="0">
      <alignment horizontal="center" vertical="center"/>
    </xf>
    <xf numFmtId="0" fontId="36" fillId="0" borderId="41" pivotButton="0" quotePrefix="0" xfId="0"/>
    <xf numFmtId="0" fontId="32" fillId="0" borderId="41" applyAlignment="1" pivotButton="0" quotePrefix="0" xfId="0">
      <alignment horizontal="center" vertical="center"/>
    </xf>
    <xf numFmtId="0" fontId="36" fillId="16" borderId="41" pivotButton="0" quotePrefix="0" xfId="0"/>
    <xf numFmtId="0" fontId="32" fillId="16" borderId="41" applyAlignment="1" pivotButton="0" quotePrefix="0" xfId="0">
      <alignment horizontal="center" vertical="center"/>
    </xf>
    <xf numFmtId="0" fontId="32" fillId="17" borderId="41" applyAlignment="1" pivotButton="0" quotePrefix="0" xfId="0">
      <alignment horizontal="center" vertical="center"/>
    </xf>
    <xf numFmtId="0" fontId="37" fillId="17" borderId="41" applyAlignment="1" pivotButton="0" quotePrefix="0" xfId="0">
      <alignment horizontal="center" vertical="center"/>
    </xf>
    <xf numFmtId="0" fontId="36" fillId="16" borderId="42" pivotButton="0" quotePrefix="0" xfId="0"/>
    <xf numFmtId="0" fontId="32" fillId="16" borderId="42" applyAlignment="1" pivotButton="0" quotePrefix="0" xfId="0">
      <alignment horizontal="center" vertical="center"/>
    </xf>
    <xf numFmtId="0" fontId="38" fillId="0" borderId="0" pivotButton="0" quotePrefix="0" xfId="0"/>
    <xf numFmtId="0" fontId="32" fillId="0" borderId="41" pivotButton="0" quotePrefix="0" xfId="0"/>
    <xf numFmtId="3" fontId="32" fillId="0" borderId="41" applyAlignment="1" pivotButton="0" quotePrefix="0" xfId="0">
      <alignment horizontal="right" vertical="center"/>
    </xf>
    <xf numFmtId="165" fontId="32" fillId="0" borderId="41" applyAlignment="1" pivotButton="0" quotePrefix="0" xfId="0">
      <alignment horizontal="right" vertical="center"/>
    </xf>
    <xf numFmtId="0" fontId="32" fillId="16" borderId="41" pivotButton="0" quotePrefix="0" xfId="0"/>
    <xf numFmtId="3" fontId="32" fillId="16" borderId="41" applyAlignment="1" pivotButton="0" quotePrefix="0" xfId="0">
      <alignment horizontal="right" vertical="center"/>
    </xf>
    <xf numFmtId="165" fontId="32" fillId="16" borderId="41" applyAlignment="1" pivotButton="0" quotePrefix="0" xfId="0">
      <alignment horizontal="right" vertical="center"/>
    </xf>
    <xf numFmtId="0" fontId="32" fillId="0" borderId="42" pivotButton="0" quotePrefix="0" xfId="0"/>
    <xf numFmtId="0" fontId="32" fillId="0" borderId="42" applyAlignment="1" pivotButton="0" quotePrefix="0" xfId="0">
      <alignment horizontal="center" vertical="center"/>
    </xf>
    <xf numFmtId="0" fontId="36" fillId="0" borderId="42" pivotButton="0" quotePrefix="0" xfId="0"/>
    <xf numFmtId="3" fontId="32" fillId="0" borderId="42" applyAlignment="1" pivotButton="0" quotePrefix="0" xfId="0">
      <alignment horizontal="right" vertical="center"/>
    </xf>
    <xf numFmtId="165" fontId="32" fillId="0" borderId="42" applyAlignment="1" pivotButton="0" quotePrefix="0" xfId="0">
      <alignment horizontal="right" vertical="center"/>
    </xf>
    <xf numFmtId="0" fontId="37" fillId="0" borderId="0" applyAlignment="1" pivotButton="0" quotePrefix="0" xfId="0">
      <alignment vertical="top" wrapText="1"/>
    </xf>
    <xf numFmtId="0" fontId="32" fillId="0" borderId="0" applyAlignment="1" pivotButton="0" quotePrefix="0" xfId="0">
      <alignment vertical="top" wrapText="1"/>
    </xf>
    <xf numFmtId="0" fontId="34" fillId="0" borderId="0" applyAlignment="1" pivotButton="0" quotePrefix="0" xfId="0">
      <alignment vertical="top" wrapText="1"/>
    </xf>
    <xf numFmtId="164" fontId="3" fillId="5" borderId="1" applyAlignment="1" pivotButton="0" quotePrefix="0" xfId="0">
      <alignment horizontal="right" vertical="center"/>
    </xf>
    <xf numFmtId="165" fontId="3" fillId="5" borderId="1" applyAlignment="1" pivotButton="0" quotePrefix="0" xfId="0">
      <alignment horizontal="right" vertical="center"/>
    </xf>
    <xf numFmtId="164" fontId="3" fillId="5" borderId="7" applyAlignment="1" pivotButton="0" quotePrefix="0" xfId="0">
      <alignment horizontal="right" vertical="center"/>
    </xf>
    <xf numFmtId="165" fontId="3" fillId="5" borderId="7" applyAlignment="1" pivotButton="0" quotePrefix="0" xfId="0">
      <alignment horizontal="right" vertical="center"/>
    </xf>
    <xf numFmtId="164" fontId="3" fillId="5" borderId="16" applyAlignment="1" pivotButton="0" quotePrefix="0" xfId="0">
      <alignment horizontal="right" vertical="center"/>
    </xf>
    <xf numFmtId="165" fontId="3" fillId="5" borderId="16" applyAlignment="1" pivotButton="0" quotePrefix="0" xfId="0">
      <alignment horizontal="right" vertical="center"/>
    </xf>
    <xf numFmtId="164" fontId="17" fillId="5" borderId="1" applyAlignment="1" pivotButton="0" quotePrefix="0" xfId="0">
      <alignment horizontal="right" vertical="center"/>
    </xf>
    <xf numFmtId="165" fontId="17" fillId="5" borderId="1" applyAlignment="1" pivotButton="0" quotePrefix="0" xfId="0">
      <alignment horizontal="right" vertical="center"/>
    </xf>
    <xf numFmtId="164" fontId="21" fillId="5" borderId="1" applyAlignment="1" pivotButton="0" quotePrefix="0" xfId="0">
      <alignment horizontal="right" vertical="center"/>
    </xf>
    <xf numFmtId="165" fontId="21" fillId="5" borderId="1" applyAlignment="1" pivotButton="0" quotePrefix="0" xfId="0">
      <alignment horizontal="right" vertical="center"/>
    </xf>
    <xf numFmtId="164" fontId="21" fillId="5" borderId="7" applyAlignment="1" pivotButton="0" quotePrefix="0" xfId="0">
      <alignment horizontal="right" vertical="center"/>
    </xf>
    <xf numFmtId="165" fontId="21" fillId="5" borderId="7" applyAlignment="1" pivotButton="0" quotePrefix="0" xfId="0">
      <alignment horizontal="right" vertical="center"/>
    </xf>
    <xf numFmtId="166" fontId="17" fillId="0" borderId="1" applyAlignment="1" pivotButton="0" quotePrefix="0" xfId="0">
      <alignment horizontal="center" vertical="center"/>
    </xf>
    <xf numFmtId="164" fontId="17" fillId="5" borderId="1" applyAlignment="1" pivotButton="0" quotePrefix="0" xfId="0">
      <alignment horizontal="center" vertical="center"/>
    </xf>
    <xf numFmtId="165" fontId="17" fillId="5" borderId="1" applyAlignment="1" pivotButton="0" quotePrefix="0" xfId="0">
      <alignment horizontal="center" vertical="center"/>
    </xf>
    <xf numFmtId="165" fontId="17" fillId="0" borderId="1" applyAlignment="1" pivotButton="0" quotePrefix="0" xfId="0">
      <alignment horizontal="center" vertical="center"/>
    </xf>
    <xf numFmtId="167" fontId="17" fillId="6" borderId="1" applyAlignment="1" pivotButton="0" quotePrefix="0" xfId="0">
      <alignment horizontal="center" vertical="center"/>
    </xf>
    <xf numFmtId="165" fontId="17" fillId="6" borderId="1" applyAlignment="1" pivotButton="0" quotePrefix="0" xfId="0">
      <alignment horizontal="center" vertical="center"/>
    </xf>
    <xf numFmtId="167" fontId="17" fillId="0" borderId="1" applyAlignment="1" pivotButton="0" quotePrefix="0" xfId="0">
      <alignment horizontal="center" vertical="center"/>
    </xf>
    <xf numFmtId="164" fontId="17" fillId="5" borderId="7" applyAlignment="1" pivotButton="0" quotePrefix="0" xfId="0">
      <alignment horizontal="center" vertical="center"/>
    </xf>
    <xf numFmtId="165" fontId="17" fillId="5" borderId="7" applyAlignment="1" pivotButton="0" quotePrefix="0" xfId="0">
      <alignment horizontal="center" vertical="center"/>
    </xf>
    <xf numFmtId="165" fontId="17" fillId="0" borderId="7" applyAlignment="1" pivotButton="0" quotePrefix="0" xfId="0">
      <alignment horizontal="center" vertical="center"/>
    </xf>
    <xf numFmtId="165" fontId="3" fillId="0" borderId="1" applyAlignment="1" pivotButton="0" quotePrefix="0" xfId="0">
      <alignment horizontal="right" vertical="center" wrapText="1"/>
    </xf>
    <xf numFmtId="165" fontId="32" fillId="0" borderId="34" applyAlignment="1" pivotButton="0" quotePrefix="0" xfId="0">
      <alignment horizontal="center" vertical="center"/>
    </xf>
    <xf numFmtId="164" fontId="32" fillId="0" borderId="34" applyAlignment="1" pivotButton="0" quotePrefix="0" xfId="0">
      <alignment horizontal="center" vertical="center"/>
    </xf>
    <xf numFmtId="165" fontId="3" fillId="6" borderId="1" applyAlignment="1" pivotButton="0" quotePrefix="0" xfId="0">
      <alignment horizontal="right" vertical="center" wrapText="1"/>
    </xf>
    <xf numFmtId="165" fontId="3" fillId="6" borderId="7"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showGridLines="0" workbookViewId="0">
      <selection activeCell="A1" sqref="A1"/>
    </sheetView>
  </sheetViews>
  <sheetFormatPr baseColWidth="8" defaultRowHeight="15"/>
  <cols>
    <col width="3" customWidth="1" min="1" max="1"/>
    <col width="20" customWidth="1" min="2" max="2"/>
    <col width="9" customWidth="1" min="3" max="3"/>
    <col width="9" customWidth="1" min="4" max="4"/>
    <col width="8" customWidth="1" min="5" max="5"/>
    <col width="15" customWidth="1" min="6" max="6"/>
    <col width="15" customWidth="1" min="7" max="7"/>
    <col width="15" customWidth="1" min="8" max="8"/>
    <col width="7" customWidth="1" min="9" max="9"/>
    <col width="11" customWidth="1" min="10" max="10"/>
  </cols>
  <sheetData>
    <row r="1" ht="22" customHeight="1">
      <c r="B1" s="191" t="inlineStr">
        <is>
          <t>팀 2 · 중후장대·인프라 — 담당 산업 스크리닝 취합</t>
        </is>
      </c>
    </row>
    <row r="2">
      <c r="B2" s="192" t="inlineStr">
        <is>
          <t>ICOK Fund 26-2  ·  기준일 2026-09-15 종가  ·  취합 2026-09-22  ·  팀장 이재우</t>
        </is>
      </c>
    </row>
    <row r="3" ht="3" customHeight="1">
      <c r="B3" s="193" t="n"/>
      <c r="C3" s="193" t="n"/>
      <c r="D3" s="193" t="n"/>
      <c r="E3" s="193" t="n"/>
      <c r="F3" s="193" t="n"/>
      <c r="G3" s="193" t="n"/>
      <c r="H3" s="193" t="n"/>
      <c r="I3" s="193" t="n"/>
      <c r="J3" s="193" t="n"/>
    </row>
    <row r="5" ht="22" customHeight="1">
      <c r="B5" s="194" t="inlineStr">
        <is>
          <t>담당 산업</t>
        </is>
      </c>
      <c r="C5" s="194" t="inlineStr">
        <is>
          <t>담당자</t>
        </is>
      </c>
      <c r="D5" s="194" t="inlineStr">
        <is>
          <t>BM비중</t>
        </is>
      </c>
      <c r="E5" s="194" t="inlineStr">
        <is>
          <t>종목수</t>
        </is>
      </c>
      <c r="F5" s="194" t="inlineStr">
        <is>
          <t>Top 1</t>
        </is>
      </c>
      <c r="G5" s="194" t="inlineStr">
        <is>
          <t>Top 2</t>
        </is>
      </c>
      <c r="H5" s="194" t="inlineStr">
        <is>
          <t>Top 3</t>
        </is>
      </c>
      <c r="I5" s="194" t="inlineStr">
        <is>
          <t>탈락</t>
        </is>
      </c>
      <c r="J5" s="194" t="inlineStr">
        <is>
          <t>상태</t>
        </is>
      </c>
    </row>
    <row r="6" ht="18" customHeight="1">
      <c r="B6" s="195" t="inlineStr">
        <is>
          <t>전력기기·유틸리티</t>
        </is>
      </c>
      <c r="C6" s="196" t="inlineStr">
        <is>
          <t>권나영</t>
        </is>
      </c>
      <c r="D6" s="196" t="inlineStr">
        <is>
          <t>3.64%</t>
        </is>
      </c>
      <c r="E6" s="196" t="n">
        <v>18</v>
      </c>
      <c r="F6" s="196" t="inlineStr">
        <is>
          <t>산일전기</t>
        </is>
      </c>
      <c r="G6" s="196" t="inlineStr">
        <is>
          <t>HD현대일렉트릭</t>
        </is>
      </c>
      <c r="H6" s="196" t="inlineStr">
        <is>
          <t>일진전기</t>
        </is>
      </c>
      <c r="I6" s="196" t="n">
        <v>5</v>
      </c>
      <c r="J6" s="196" t="inlineStr">
        <is>
          <t>제출</t>
        </is>
      </c>
    </row>
    <row r="7" ht="18" customHeight="1">
      <c r="B7" s="197" t="inlineStr">
        <is>
          <t>조선·기자재</t>
        </is>
      </c>
      <c r="C7" s="198" t="inlineStr">
        <is>
          <t>이준성</t>
        </is>
      </c>
      <c r="D7" s="198" t="inlineStr">
        <is>
          <t>2.60%</t>
        </is>
      </c>
      <c r="E7" s="198" t="n">
        <v>13</v>
      </c>
      <c r="F7" s="198" t="inlineStr">
        <is>
          <t>HD한국조선해양</t>
        </is>
      </c>
      <c r="G7" s="198" t="inlineStr">
        <is>
          <t>한국카본</t>
        </is>
      </c>
      <c r="H7" s="198" t="inlineStr">
        <is>
          <t>대한조선</t>
        </is>
      </c>
      <c r="I7" s="198" t="n">
        <v>6</v>
      </c>
      <c r="J7" s="198" t="inlineStr">
        <is>
          <t>제출</t>
        </is>
      </c>
    </row>
    <row r="8" ht="18" customHeight="1">
      <c r="B8" s="195" t="inlineStr">
        <is>
          <t>기계·건설·로봇</t>
        </is>
      </c>
      <c r="C8" s="196" t="inlineStr">
        <is>
          <t>김범준</t>
        </is>
      </c>
      <c r="D8" s="196" t="inlineStr">
        <is>
          <t>2.64%</t>
        </is>
      </c>
      <c r="E8" s="196" t="n">
        <v>19</v>
      </c>
      <c r="F8" s="196" t="inlineStr">
        <is>
          <t>삼성E&amp;A</t>
        </is>
      </c>
      <c r="G8" s="196" t="inlineStr">
        <is>
          <t>현대엘리베이터</t>
        </is>
      </c>
      <c r="H8" s="196" t="inlineStr">
        <is>
          <t>DL이앤씨</t>
        </is>
      </c>
      <c r="I8" s="196" t="n">
        <v>5</v>
      </c>
      <c r="J8" s="196" t="inlineStr">
        <is>
          <t>제출</t>
        </is>
      </c>
    </row>
    <row r="9" ht="18" customHeight="1">
      <c r="B9" s="197" t="inlineStr">
        <is>
          <t>방산·우주</t>
        </is>
      </c>
      <c r="C9" s="199" t="inlineStr">
        <is>
          <t>—</t>
        </is>
      </c>
      <c r="D9" s="198" t="inlineStr">
        <is>
          <t>2.11%</t>
        </is>
      </c>
      <c r="E9" s="198" t="n">
        <v>8</v>
      </c>
      <c r="F9" s="198" t="n"/>
      <c r="G9" s="198" t="n"/>
      <c r="H9" s="198" t="n"/>
      <c r="I9" s="198" t="n"/>
      <c r="J9" s="200" t="inlineStr">
        <is>
          <t>미제출</t>
        </is>
      </c>
    </row>
    <row r="10" ht="18" customHeight="1">
      <c r="B10" s="195" t="inlineStr">
        <is>
          <t>소재·에너지</t>
        </is>
      </c>
      <c r="C10" s="196" t="inlineStr">
        <is>
          <t>권민재</t>
        </is>
      </c>
      <c r="D10" s="196" t="inlineStr">
        <is>
          <t>3.66%</t>
        </is>
      </c>
      <c r="E10" s="196" t="n">
        <v>27</v>
      </c>
      <c r="F10" s="196" t="inlineStr">
        <is>
          <t>포스코인터내셔널</t>
        </is>
      </c>
      <c r="G10" s="196" t="inlineStr">
        <is>
          <t>OCI홀딩스</t>
        </is>
      </c>
      <c r="H10" s="196" t="inlineStr">
        <is>
          <t>금호석유화학</t>
        </is>
      </c>
      <c r="I10" s="196" t="n">
        <v>5</v>
      </c>
      <c r="J10" s="196" t="inlineStr">
        <is>
          <t>제출</t>
        </is>
      </c>
    </row>
    <row r="11" ht="18" customHeight="1">
      <c r="B11" s="201" t="inlineStr">
        <is>
          <t>지주 — 산업재·인프라</t>
        </is>
      </c>
      <c r="C11" s="202" t="inlineStr">
        <is>
          <t>이재우</t>
        </is>
      </c>
      <c r="D11" s="202" t="inlineStr">
        <is>
          <t>2.23%</t>
        </is>
      </c>
      <c r="E11" s="202" t="n">
        <v>10</v>
      </c>
      <c r="F11" s="202" t="inlineStr">
        <is>
          <t>HD현대</t>
        </is>
      </c>
      <c r="G11" s="202" t="inlineStr">
        <is>
          <t>SK디스커버리</t>
        </is>
      </c>
      <c r="H11" s="202" t="inlineStr">
        <is>
          <t>LS</t>
        </is>
      </c>
      <c r="I11" s="202" t="n">
        <v>5</v>
      </c>
      <c r="J11" s="202" t="inlineStr">
        <is>
          <t>제출</t>
        </is>
      </c>
    </row>
    <row r="13">
      <c r="B13" s="203" t="inlineStr">
        <is>
          <t>발제 후보 15종목 — 매수 가능 여부</t>
        </is>
      </c>
    </row>
    <row r="14" ht="22" customHeight="1">
      <c r="B14" s="194" t="inlineStr">
        <is>
          <t>담당 산업</t>
        </is>
      </c>
      <c r="C14" s="194" t="inlineStr">
        <is>
          <t>담당자</t>
        </is>
      </c>
      <c r="D14" s="194" t="inlineStr">
        <is>
          <t>종목</t>
        </is>
      </c>
      <c r="E14" s="194" t="inlineStr">
        <is>
          <t>주가</t>
        </is>
      </c>
      <c r="F14" s="194" t="inlineStr">
        <is>
          <t>1주 / 팀예산</t>
        </is>
      </c>
      <c r="G14" s="194" t="inlineStr">
        <is>
          <t>매수 판정</t>
        </is>
      </c>
    </row>
    <row r="15" ht="17" customHeight="1">
      <c r="B15" s="204" t="inlineStr">
        <is>
          <t>전력기기·유틸리티</t>
        </is>
      </c>
      <c r="C15" s="196" t="inlineStr">
        <is>
          <t>권나영</t>
        </is>
      </c>
      <c r="D15" s="195" t="inlineStr">
        <is>
          <t>산일전기</t>
        </is>
      </c>
      <c r="E15" s="205" t="n">
        <v>187500</v>
      </c>
      <c r="F15" s="206" t="n">
        <v>0.03970017746223482</v>
      </c>
      <c r="G15" s="196" t="inlineStr">
        <is>
          <t>가능</t>
        </is>
      </c>
    </row>
    <row r="16" ht="17" customHeight="1">
      <c r="B16" s="207" t="inlineStr">
        <is>
          <t>전력기기·유틸리티</t>
        </is>
      </c>
      <c r="C16" s="198" t="inlineStr">
        <is>
          <t>권나영</t>
        </is>
      </c>
      <c r="D16" s="197" t="inlineStr">
        <is>
          <t>HD현대일렉트릭</t>
        </is>
      </c>
      <c r="E16" s="208" t="n">
        <v>700000</v>
      </c>
      <c r="F16" s="209" t="n">
        <v>0.14821399585901</v>
      </c>
      <c r="G16" s="198" t="inlineStr">
        <is>
          <t>가능</t>
        </is>
      </c>
    </row>
    <row r="17" ht="17" customHeight="1">
      <c r="B17" s="204" t="inlineStr">
        <is>
          <t>전력기기·유틸리티</t>
        </is>
      </c>
      <c r="C17" s="196" t="inlineStr">
        <is>
          <t>권나영</t>
        </is>
      </c>
      <c r="D17" s="195" t="inlineStr">
        <is>
          <t>일진전기</t>
        </is>
      </c>
      <c r="E17" s="205" t="n">
        <v>68400</v>
      </c>
      <c r="F17" s="206" t="n">
        <v>0.01448262473822326</v>
      </c>
      <c r="G17" s="196" t="inlineStr">
        <is>
          <t>가능</t>
        </is>
      </c>
    </row>
    <row r="18" ht="17" customHeight="1">
      <c r="B18" s="207" t="inlineStr">
        <is>
          <t>조선·기자재</t>
        </is>
      </c>
      <c r="C18" s="198" t="inlineStr">
        <is>
          <t>이준성</t>
        </is>
      </c>
      <c r="D18" s="197" t="inlineStr">
        <is>
          <t>HD한국조선해양</t>
        </is>
      </c>
      <c r="E18" s="208" t="n">
        <v>339000</v>
      </c>
      <c r="F18" s="209" t="n">
        <v>0.07177792085172056</v>
      </c>
      <c r="G18" s="198" t="inlineStr">
        <is>
          <t>가능</t>
        </is>
      </c>
    </row>
    <row r="19" ht="17" customHeight="1">
      <c r="B19" s="204" t="inlineStr">
        <is>
          <t>조선·기자재</t>
        </is>
      </c>
      <c r="C19" s="196" t="inlineStr">
        <is>
          <t>이준성</t>
        </is>
      </c>
      <c r="D19" s="195" t="inlineStr">
        <is>
          <t>한국카본</t>
        </is>
      </c>
      <c r="E19" s="205" t="n">
        <v>21150</v>
      </c>
      <c r="F19" s="206" t="n">
        <v>0.004478180017740088</v>
      </c>
      <c r="G19" s="196" t="inlineStr">
        <is>
          <t>가능</t>
        </is>
      </c>
    </row>
    <row r="20" ht="17" customHeight="1">
      <c r="B20" s="207" t="inlineStr">
        <is>
          <t>조선·기자재</t>
        </is>
      </c>
      <c r="C20" s="198" t="inlineStr">
        <is>
          <t>이준성</t>
        </is>
      </c>
      <c r="D20" s="197" t="inlineStr">
        <is>
          <t>대한조선</t>
        </is>
      </c>
      <c r="E20" s="208" t="n">
        <v>46000</v>
      </c>
      <c r="F20" s="209" t="n">
        <v>0.009739776870734943</v>
      </c>
      <c r="G20" s="198" t="inlineStr">
        <is>
          <t>가능</t>
        </is>
      </c>
    </row>
    <row r="21" ht="17" customHeight="1">
      <c r="B21" s="204" t="inlineStr">
        <is>
          <t>기계·건설·로봇</t>
        </is>
      </c>
      <c r="C21" s="196" t="inlineStr">
        <is>
          <t>김범준</t>
        </is>
      </c>
      <c r="D21" s="195" t="inlineStr">
        <is>
          <t>삼성E&amp;A</t>
        </is>
      </c>
      <c r="E21" s="205" t="n">
        <v>50800</v>
      </c>
      <c r="F21" s="206" t="n">
        <v>0.01075610141376815</v>
      </c>
      <c r="G21" s="196" t="inlineStr">
        <is>
          <t>가능</t>
        </is>
      </c>
    </row>
    <row r="22" ht="17" customHeight="1">
      <c r="B22" s="207" t="inlineStr">
        <is>
          <t>기계·건설·로봇</t>
        </is>
      </c>
      <c r="C22" s="198" t="inlineStr">
        <is>
          <t>김범준</t>
        </is>
      </c>
      <c r="D22" s="197" t="inlineStr">
        <is>
          <t>현대엘리베이터</t>
        </is>
      </c>
      <c r="E22" s="208" t="n">
        <v>73100</v>
      </c>
      <c r="F22" s="209" t="n">
        <v>0.01547777585327662</v>
      </c>
      <c r="G22" s="198" t="inlineStr">
        <is>
          <t>가능</t>
        </is>
      </c>
    </row>
    <row r="23" ht="17" customHeight="1">
      <c r="B23" s="204" t="inlineStr">
        <is>
          <t>기계·건설·로봇</t>
        </is>
      </c>
      <c r="C23" s="196" t="inlineStr">
        <is>
          <t>김범준</t>
        </is>
      </c>
      <c r="D23" s="195" t="inlineStr">
        <is>
          <t>DL이앤씨</t>
        </is>
      </c>
      <c r="E23" s="205" t="n">
        <v>89400</v>
      </c>
      <c r="F23" s="206" t="n">
        <v>0.01892904461399356</v>
      </c>
      <c r="G23" s="196" t="inlineStr">
        <is>
          <t>가능</t>
        </is>
      </c>
    </row>
    <row r="24" ht="17" customHeight="1">
      <c r="B24" s="207" t="inlineStr">
        <is>
          <t>소재·에너지</t>
        </is>
      </c>
      <c r="C24" s="198" t="inlineStr">
        <is>
          <t>권민재</t>
        </is>
      </c>
      <c r="D24" s="197" t="inlineStr">
        <is>
          <t>포스코인터내셔널</t>
        </is>
      </c>
      <c r="E24" s="208" t="n">
        <v>54900</v>
      </c>
      <c r="F24" s="209" t="n">
        <v>0.01162421196094236</v>
      </c>
      <c r="G24" s="198" t="inlineStr">
        <is>
          <t>가능</t>
        </is>
      </c>
    </row>
    <row r="25" ht="17" customHeight="1">
      <c r="B25" s="204" t="inlineStr">
        <is>
          <t>소재·에너지</t>
        </is>
      </c>
      <c r="C25" s="196" t="inlineStr">
        <is>
          <t>권민재</t>
        </is>
      </c>
      <c r="D25" s="195" t="inlineStr">
        <is>
          <t>OCI홀딩스</t>
        </is>
      </c>
      <c r="E25" s="205" t="n">
        <v>203500</v>
      </c>
      <c r="F25" s="206" t="n">
        <v>0.04308792593901219</v>
      </c>
      <c r="G25" s="196" t="inlineStr">
        <is>
          <t>가능</t>
        </is>
      </c>
    </row>
    <row r="26" ht="17" customHeight="1">
      <c r="B26" s="207" t="inlineStr">
        <is>
          <t>소재·에너지</t>
        </is>
      </c>
      <c r="C26" s="198" t="inlineStr">
        <is>
          <t>권민재</t>
        </is>
      </c>
      <c r="D26" s="197" t="inlineStr">
        <is>
          <t>금호석유화학</t>
        </is>
      </c>
      <c r="E26" s="208" t="n">
        <v>122600</v>
      </c>
      <c r="F26" s="209" t="n">
        <v>0.02595862270330661</v>
      </c>
      <c r="G26" s="198" t="inlineStr">
        <is>
          <t>가능</t>
        </is>
      </c>
    </row>
    <row r="27" ht="17" customHeight="1">
      <c r="B27" s="204" t="inlineStr">
        <is>
          <t>지주 — 산업재·인프라</t>
        </is>
      </c>
      <c r="C27" s="196" t="inlineStr">
        <is>
          <t>이재우</t>
        </is>
      </c>
      <c r="D27" s="195" t="inlineStr">
        <is>
          <t>HD현대</t>
        </is>
      </c>
      <c r="E27" s="205" t="n">
        <v>225000</v>
      </c>
      <c r="F27" s="206" t="n">
        <v>0.04764021295468179</v>
      </c>
      <c r="G27" s="196" t="inlineStr">
        <is>
          <t>가능</t>
        </is>
      </c>
    </row>
    <row r="28" ht="17" customHeight="1">
      <c r="B28" s="207" t="inlineStr">
        <is>
          <t>지주 — 산업재·인프라</t>
        </is>
      </c>
      <c r="C28" s="198" t="inlineStr">
        <is>
          <t>이재우</t>
        </is>
      </c>
      <c r="D28" s="197" t="inlineStr">
        <is>
          <t>SK디스커버리</t>
        </is>
      </c>
      <c r="E28" s="208" t="n">
        <v>56900</v>
      </c>
      <c r="F28" s="209" t="n">
        <v>0.01204768052053953</v>
      </c>
      <c r="G28" s="198" t="inlineStr">
        <is>
          <t>가능</t>
        </is>
      </c>
    </row>
    <row r="29" ht="17" customHeight="1">
      <c r="B29" s="210" t="inlineStr">
        <is>
          <t>지주 — 산업재·인프라</t>
        </is>
      </c>
      <c r="C29" s="211" t="inlineStr">
        <is>
          <t>이재우</t>
        </is>
      </c>
      <c r="D29" s="212" t="inlineStr">
        <is>
          <t>LS</t>
        </is>
      </c>
      <c r="E29" s="213" t="n">
        <v>303500</v>
      </c>
      <c r="F29" s="214" t="n">
        <v>0.06426135391887076</v>
      </c>
      <c r="G29" s="211" t="inlineStr">
        <is>
          <t>가능</t>
        </is>
      </c>
    </row>
    <row r="30"/>
    <row r="31" ht="16" customHeight="1">
      <c r="B31" s="215" t="inlineStr">
        <is>
          <t>제출 5/6.  방산·우주는 담당자 미지정·미제출이다. 팀 인원 5명에 담당 산업이 6개이므로 팀장이 1개를 겸임해야 하는데, 팀장(이재우)이 지주를 맡아 방산·우주가 비었다.</t>
        </is>
      </c>
    </row>
    <row r="32" ht="16" customHeight="1">
      <c r="B32" s="216" t="inlineStr">
        <is>
          <t>발제 후보 15종목 중 0종목이 매수 제약에 걸린다(IC 2/3 또는 매수 불가). 팀 미니 IC에서 1라운드 발표 종목을 정할 때 먼저 확인한다.</t>
        </is>
      </c>
    </row>
    <row r="33" ht="16" customHeight="1">
      <c r="B33" s="216" t="inlineStr">
        <is>
          <t>「참고_1팀 지주」 시트는 팀장이 함께 작성한 팀 1 담당 시트다. 팀 2 맨데이트가 아니므로 팀 1에 전달한다.</t>
        </is>
      </c>
    </row>
    <row r="34" ht="16" customHeight="1">
      <c r="B34" s="216" t="inlineStr">
        <is>
          <t>HD현대일렉트릭은 1주 70만원이 팀 예산의 14.8%다. 한 종목이 팀 몫의 7분의 1을 차지하므로 편입 시 나머지 후보의 자리를 먼저 계산한다.</t>
        </is>
      </c>
    </row>
    <row r="35">
      <c r="B35" s="217" t="inlineStr">
        <is>
          <t>원본 5개 파일은 각자 19시트 전체를 반환했다. 이 파일은 팀 2 담당 6시트와 작성요령만 남긴 것이다.</t>
        </is>
      </c>
    </row>
  </sheetData>
  <mergeCells count="4">
    <mergeCell ref="B31:J31"/>
    <mergeCell ref="B33:J33"/>
    <mergeCell ref="B34:J34"/>
    <mergeCell ref="B32:J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40"/>
  <sheetViews>
    <sheetView showGridLines="0" workbookViewId="0">
      <selection activeCell="A1" sqref="A1"/>
    </sheetView>
  </sheetViews>
  <sheetFormatPr baseColWidth="8" defaultRowHeight="15"/>
  <cols>
    <col width="3" customWidth="1" min="1" max="1"/>
    <col width="20" customWidth="1" min="2" max="2"/>
    <col width="88" customWidth="1" min="3" max="3"/>
  </cols>
  <sheetData>
    <row r="1" ht="23" customHeight="1">
      <c r="B1" s="1" t="inlineStr">
        <is>
          <t>담당 산업 스크리닝 작성요령</t>
        </is>
      </c>
    </row>
    <row r="2">
      <c r="B2" s="2" t="inlineStr">
        <is>
          <t>ICOK Fund 26-2  ·  기준일 2026-09-15 종가</t>
        </is>
      </c>
    </row>
    <row r="3" ht="3" customHeight="1">
      <c r="B3" s="3" t="n"/>
      <c r="C3" s="3" t="n"/>
    </row>
    <row r="5" ht="17" customHeight="1">
      <c r="B5" s="4" t="inlineStr">
        <is>
          <t>과제 개요</t>
        </is>
      </c>
      <c r="C5" s="5" t="inlineStr">
        <is>
          <t>담당 산업의 전 종목을 검토하여 발제 후보 3종목을 선정한다.</t>
        </is>
      </c>
    </row>
    <row r="6" ht="17" customHeight="1">
      <c r="B6" s="6" t="n"/>
      <c r="C6" s="5" t="inlineStr">
        <is>
          <t>선정한 3종목 중 1종목을 10월 13일 세션에서 발제한다.</t>
        </is>
      </c>
    </row>
    <row r="7" ht="17" customHeight="1">
      <c r="B7" s="7" t="n"/>
      <c r="C7" s="5" t="inlineStr">
        <is>
          <t>선정 근거와 함께 탈락 근거를 반드시 기재한다.</t>
        </is>
      </c>
    </row>
    <row r="9" ht="17" customHeight="1">
      <c r="B9" s="4" t="inlineStr">
        <is>
          <t>작성 순서</t>
        </is>
      </c>
      <c r="C9" s="5" t="inlineStr">
        <is>
          <t>1.  하위 테마를 2~4개로 분류한다.   예) 에너지 → 태양광 / 풍력 / 원자력 / ESS</t>
        </is>
      </c>
    </row>
    <row r="10" ht="17" customHeight="1">
      <c r="B10" s="6" t="n"/>
      <c r="C10" s="5" t="inlineStr">
        <is>
          <t>2.  매출 CAGR(3년) · 영업이익률 · ROE · PER(또는 PBR)을 기입한다.</t>
        </is>
      </c>
    </row>
    <row r="11" ht="17" customHeight="1">
      <c r="B11" s="6" t="n"/>
      <c r="C11" s="5" t="inlineStr">
        <is>
          <t>3.  주요 제품과 시장 포지셔닝을 각 한 줄로 기입한다.</t>
        </is>
      </c>
    </row>
    <row r="12" ht="17" customHeight="1">
      <c r="B12" s="6" t="n"/>
      <c r="C12" s="5" t="inlineStr">
        <is>
          <t>4.  판정 칸에 Top1~3 / 보류 / 탈락을 선택한다.</t>
        </is>
      </c>
    </row>
    <row r="13" ht="17" customHeight="1">
      <c r="B13" s="7" t="n"/>
      <c r="C13" s="5" t="inlineStr">
        <is>
          <t>5.  시트 하단 「선정 결과」에 Top 3 근거와 탈락 5종목 사유를 기입한다.</t>
        </is>
      </c>
    </row>
    <row r="15" ht="17" customHeight="1">
      <c r="B15" s="4" t="inlineStr">
        <is>
          <t>기입 완료 항목</t>
        </is>
      </c>
      <c r="C15" s="5" t="inlineStr">
        <is>
          <t>기업명 · 종목코드 · 주가 · 시가총액 · 지수 비중 · 1주가 팀 예산에서 차지하는 비중 · 매수 판정</t>
        </is>
      </c>
    </row>
    <row r="16" ht="17" customHeight="1">
      <c r="B16" s="7" t="n"/>
      <c r="C16" s="5" t="inlineStr">
        <is>
          <t>음영 처리된 셀이며 수정하지 않는다.</t>
        </is>
      </c>
    </row>
    <row r="18" ht="17" customHeight="1">
      <c r="B18" s="4" t="inlineStr">
        <is>
          <t>지수 비중</t>
        </is>
      </c>
      <c r="C18" s="5" t="inlineStr">
        <is>
          <t>KRX 300 비중은 해당 종목의 중립 비중이다.</t>
        </is>
      </c>
    </row>
    <row r="19" ht="17" customHeight="1">
      <c r="B19" s="6" t="n"/>
      <c r="C19" s="5" t="inlineStr">
        <is>
          <t>예)  비중 0.5% 종목을 1.5% 편입 → 액티브 +1.0%p  /  미편입 → 액티브 −0.5%p</t>
        </is>
      </c>
    </row>
    <row r="20" ht="17" customHeight="1">
      <c r="B20" s="7" t="n"/>
      <c r="C20" s="5" t="inlineStr">
        <is>
          <t>지수 미편입 종목은 중립 비중이 0이므로 편입 시 전량 액티브 포지션으로 기록된다.</t>
        </is>
      </c>
    </row>
    <row r="22" ht="17" customHeight="1">
      <c r="B22" s="4" t="inlineStr">
        <is>
          <t>매수 판정</t>
        </is>
      </c>
      <c r="C22" s="5" t="inlineStr">
        <is>
          <t>1주 가격이 높아 최소 매수 단위만으로 한도를 초과하는 종목이 있다. 종목 선정 전에 확인한다.</t>
        </is>
      </c>
    </row>
    <row r="23" ht="17" customHeight="1">
      <c r="B23" s="6" t="n"/>
      <c r="C23" s="5" t="inlineStr">
        <is>
          <t>가능 = 팀 재량  /  IC 2/3 = 펀드 IC 특별의결  /  매수 불가 = 1주도 편입 불가</t>
        </is>
      </c>
    </row>
    <row r="24" ht="17" customHeight="1">
      <c r="B24" s="7" t="n"/>
      <c r="C24" s="5" t="inlineStr">
        <is>
          <t>예)  효성중공업 : 지수 비중 0.47%, 1주 2,689,000원 → 1주 매수 시 한도 초과</t>
        </is>
      </c>
    </row>
    <row r="26" ht="17" customHeight="1">
      <c r="B26" s="4" t="inlineStr">
        <is>
          <t>지주회사</t>
        </is>
      </c>
      <c r="C26" s="5" t="inlineStr">
        <is>
          <t>순수지주(자체 사업이 없거나 지분 보유가 주력인 회사)는 「지주」로 분리했다.</t>
        </is>
      </c>
    </row>
    <row r="27" ht="17" customHeight="1">
      <c r="B27" s="6" t="n"/>
      <c r="C27" s="5" t="inlineStr">
        <is>
          <t>지주의 재료는 두 갈래다 — 지주회사가 직접 영위하는 사업, 그리고 보유 자회사.</t>
        </is>
      </c>
    </row>
    <row r="28" ht="17" customHeight="1">
      <c r="B28" s="6" t="n"/>
      <c r="C28" s="5" t="inlineStr">
        <is>
          <t>예)  (주)두산은 전자BG의 하이엔드 CCL이 AI 서버 기판 소재이고, 자회사 두산에너빌리티는 가스터빈·SMR이다.</t>
        </is>
      </c>
    </row>
    <row r="29" ht="17" customHeight="1">
      <c r="B29" s="6" t="n"/>
      <c r="C29" s="5" t="inlineStr">
        <is>
          <t xml:space="preserve">     두 재료가 모두 AI 데이터센터로 모이므로 테마를 「AI 데이터센터」로 둔다.</t>
        </is>
      </c>
    </row>
    <row r="30" ht="17" customHeight="1">
      <c r="B30" s="6" t="n"/>
      <c r="C30" s="5" t="inlineStr">
        <is>
          <t>하위 테마 · 주요 제품(자체 사업) · 시장 포지셔닝(보유 자회사)은 기입 완료 항목이다. 나머지를 작성한다.</t>
        </is>
      </c>
    </row>
    <row r="31" ht="17" customHeight="1">
      <c r="B31" s="6" t="n"/>
      <c r="C31" s="5" t="inlineStr">
        <is>
          <t>지주를 편입하면 자회사 지분이 함께 들어온다. 편입 전에 자회사와 합산 노출을 확인한다.</t>
        </is>
      </c>
    </row>
    <row r="32" ht="17" customHeight="1">
      <c r="B32" s="6" t="n"/>
      <c r="C32" s="5" t="inlineStr">
        <is>
          <t xml:space="preserve">     SK스퀘어 ↔ SK하이닉스는 룩스루 배수가 1.8배다. 1주 매수로 실질 노출이 그 배수만큼 움직인다.</t>
        </is>
      </c>
    </row>
    <row r="33" ht="17" customHeight="1">
      <c r="B33" s="7" t="n"/>
      <c r="C33" s="5" t="inlineStr">
        <is>
          <t>사업 실질이 주력인 지주(POSCO홀딩스·OCI홀딩스·세아베스틸지주)와 금융지주는 사업 섹터에 남겼다.</t>
        </is>
      </c>
    </row>
    <row r="35" ht="17" customHeight="1">
      <c r="B35" s="4" t="inlineStr">
        <is>
          <t>자료 기준</t>
        </is>
      </c>
      <c r="C35" s="5" t="inlineStr">
        <is>
          <t>모든 수치에 출처와 기준일을 기재한다.</t>
        </is>
      </c>
    </row>
    <row r="36" ht="17" customHeight="1">
      <c r="B36" s="7" t="n"/>
      <c r="C36" s="5" t="inlineStr">
        <is>
          <t>1순위 자료는 DART 사업보고서이며, 증권사 리포트는 참고 자료로만 사용한다.</t>
        </is>
      </c>
    </row>
    <row r="38" ht="17" customHeight="1">
      <c r="B38" s="4" t="inlineStr">
        <is>
          <t>작성 시 유의사항</t>
        </is>
      </c>
      <c r="C38" s="5" t="inlineStr">
        <is>
          <t>증권사 리포트를 논지의 근거로 사용하지 않는다. 목표주가를 인용하지 않는다.</t>
        </is>
      </c>
    </row>
    <row r="39" ht="17" customHeight="1">
      <c r="B39" s="6" t="n"/>
      <c r="C39" s="5" t="inlineStr">
        <is>
          <t>검증 불가능한 표현(유망하다, 성장성이 크다, 저평가되어 있다 등)을 사용하지 않는다.</t>
        </is>
      </c>
    </row>
    <row r="40" ht="17" customHeight="1">
      <c r="B40" s="7" t="n"/>
      <c r="C40" s="5" t="inlineStr">
        <is>
          <t>수치를 개략값(약 ○조 등)으로 기재하지 않는다.</t>
        </is>
      </c>
    </row>
  </sheetData>
  <mergeCells count="8">
    <mergeCell ref="B18:B20"/>
    <mergeCell ref="B26:B33"/>
    <mergeCell ref="B9:B13"/>
    <mergeCell ref="B15:B16"/>
    <mergeCell ref="B38:B40"/>
    <mergeCell ref="B22:B24"/>
    <mergeCell ref="B35:B36"/>
    <mergeCell ref="B5:B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7"/>
  <sheetViews>
    <sheetView showGridLines="0" workbookViewId="0">
      <pane xSplit="2" ySplit="9" topLeftCell="C10" activePane="bottomRight" state="frozen"/>
      <selection pane="topRight" activeCell="A1" sqref="A1"/>
      <selection pane="bottomLeft" activeCell="A1" sqref="A1"/>
      <selection pane="bottomRight" activeCell="A1" sqref="A1"/>
    </sheetView>
  </sheetViews>
  <sheetFormatPr baseColWidth="8" defaultRowHeight="15"/>
  <cols>
    <col width="13.375" customWidth="1" min="1" max="1"/>
    <col width="16" customWidth="1" min="2" max="2"/>
    <col width="8" customWidth="1" min="3" max="3"/>
    <col width="10" customWidth="1" min="4" max="4"/>
    <col width="11" customWidth="1" min="5" max="5"/>
    <col width="10" customWidth="1" min="6" max="6"/>
    <col width="11" customWidth="1" min="7" max="7"/>
    <col width="10" customWidth="1" min="8" max="8"/>
    <col width="12" customWidth="1" min="9" max="9"/>
    <col width="10" customWidth="1" min="10" max="10"/>
    <col width="9" customWidth="1" min="11" max="11"/>
    <col width="11" customWidth="1" min="12" max="12"/>
    <col width="22" customWidth="1" min="13" max="13"/>
    <col width="26" customWidth="1" min="14" max="14"/>
    <col width="34" customWidth="1" min="15" max="15"/>
    <col width="18" customWidth="1" min="16" max="16"/>
    <col width="9" customWidth="1" min="17" max="17"/>
  </cols>
  <sheetData>
    <row r="1" ht="21.95" customHeight="1">
      <c r="A1" s="1" t="inlineStr">
        <is>
          <t>전력기기·유틸리티</t>
        </is>
      </c>
    </row>
    <row r="2">
      <c r="A2" s="2" t="inlineStr">
        <is>
          <t>ICOK Fund 26-2  ·  담당 산업 스크리닝</t>
        </is>
      </c>
    </row>
    <row r="3" ht="3" customHeight="1">
      <c r="A3" s="3" t="n"/>
      <c r="B3" s="3" t="n"/>
      <c r="C3" s="3" t="n"/>
      <c r="D3" s="3" t="n"/>
      <c r="E3" s="3" t="n"/>
      <c r="F3" s="3" t="n"/>
      <c r="G3" s="3" t="n"/>
      <c r="H3" s="3" t="n"/>
      <c r="I3" s="3" t="n"/>
      <c r="J3" s="3" t="n"/>
      <c r="K3" s="3" t="n"/>
      <c r="L3" s="3" t="n"/>
      <c r="M3" s="3" t="n"/>
      <c r="N3" s="3" t="n"/>
      <c r="O3" s="3" t="n"/>
      <c r="P3" s="3" t="n"/>
      <c r="Q3" s="3" t="n"/>
      <c r="R3" s="3" t="n"/>
    </row>
    <row r="4" ht="17.1" customHeight="1">
      <c r="A4" s="4" t="inlineStr">
        <is>
          <t>팀</t>
        </is>
      </c>
      <c r="B4" s="8" t="inlineStr">
        <is>
          <t>팀 2 · 중후장대·인프라</t>
        </is>
      </c>
      <c r="C4" s="9" t="n"/>
      <c r="D4" s="4" t="inlineStr">
        <is>
          <t>담당자</t>
        </is>
      </c>
      <c r="E4" s="8" t="inlineStr">
        <is>
          <t>권나영</t>
        </is>
      </c>
      <c r="F4" s="9" t="n"/>
      <c r="G4" s="4" t="inlineStr">
        <is>
          <t>제출일</t>
        </is>
      </c>
      <c r="H4" s="10" t="n">
        <v>46286</v>
      </c>
      <c r="I4" s="9" t="n"/>
    </row>
    <row r="5" ht="17.1" customHeight="1">
      <c r="A5" s="4" t="inlineStr">
        <is>
          <t>지수 비중</t>
        </is>
      </c>
      <c r="B5" s="8" t="inlineStr">
        <is>
          <t>3.64%</t>
        </is>
      </c>
      <c r="C5" s="9" t="n"/>
      <c r="D5" s="4" t="inlineStr">
        <is>
          <t>배정액</t>
        </is>
      </c>
      <c r="E5" s="8" t="inlineStr">
        <is>
          <t>1,018,935원</t>
        </is>
      </c>
      <c r="F5" s="9" t="n"/>
      <c r="G5" s="4" t="inlineStr">
        <is>
          <t>종목 수</t>
        </is>
      </c>
      <c r="H5" s="8" t="inlineStr">
        <is>
          <t>18</t>
        </is>
      </c>
      <c r="I5" s="9" t="n"/>
      <c r="J5" s="4" t="inlineStr">
        <is>
          <t>기준일</t>
        </is>
      </c>
      <c r="K5" s="8" t="inlineStr">
        <is>
          <t>2026-09-15</t>
        </is>
      </c>
      <c r="L5" s="9" t="n"/>
    </row>
    <row r="7">
      <c r="A7" s="2" t="inlineStr">
        <is>
          <t>음영 셀은 기입 완료. 흰색 셀만 작성한다.</t>
        </is>
      </c>
    </row>
    <row r="9" ht="26.1" customHeight="1">
      <c r="A9" s="11" t="inlineStr">
        <is>
          <t>하위 테마</t>
        </is>
      </c>
      <c r="B9" s="11" t="inlineStr">
        <is>
          <t>기업명</t>
        </is>
      </c>
      <c r="C9" s="11" t="inlineStr">
        <is>
          <t>코드</t>
        </is>
      </c>
      <c r="D9" s="11" t="inlineStr">
        <is>
          <t>주가</t>
        </is>
      </c>
      <c r="E9" s="11" t="inlineStr">
        <is>
          <t>시가총액(조)</t>
        </is>
      </c>
      <c r="F9" s="11" t="inlineStr">
        <is>
          <t>지수 비중</t>
        </is>
      </c>
      <c r="G9" s="11" t="inlineStr">
        <is>
          <t>1주 / 팀예산</t>
        </is>
      </c>
      <c r="H9" s="11" t="inlineStr">
        <is>
          <t>매수 판정</t>
        </is>
      </c>
      <c r="I9" s="11" t="inlineStr">
        <is>
          <t>매출 CAGR(3Y)</t>
        </is>
      </c>
      <c r="J9" s="11" t="inlineStr">
        <is>
          <t>영업이익률</t>
        </is>
      </c>
      <c r="K9" s="11" t="inlineStr">
        <is>
          <t>ROE</t>
        </is>
      </c>
      <c r="L9" s="11" t="inlineStr">
        <is>
          <t>PER / PBR</t>
        </is>
      </c>
      <c r="M9" s="11" t="inlineStr">
        <is>
          <t>주요 제품</t>
        </is>
      </c>
      <c r="N9" s="11" t="inlineStr">
        <is>
          <t>시장 포지셔닝</t>
        </is>
      </c>
      <c r="O9" s="11" t="inlineStr">
        <is>
          <t>투자포인트 / 탈락 사유</t>
        </is>
      </c>
      <c r="P9" s="11" t="inlineStr">
        <is>
          <t>출처 · 기준일</t>
        </is>
      </c>
      <c r="Q9" s="11" t="inlineStr">
        <is>
          <t>판정</t>
        </is>
      </c>
      <c r="R9" s="12" t="n"/>
    </row>
    <row r="10" ht="36" customHeight="1">
      <c r="A10" s="13" t="inlineStr">
        <is>
          <t>원전</t>
        </is>
      </c>
      <c r="B10" s="14" t="inlineStr">
        <is>
          <t>두산에너빌리티</t>
        </is>
      </c>
      <c r="C10" s="15" t="inlineStr">
        <is>
          <t>034020</t>
        </is>
      </c>
      <c r="D10" s="16" t="n">
        <v>86200</v>
      </c>
      <c r="E10" s="218" t="n">
        <v>55.216371</v>
      </c>
      <c r="F10" s="18" t="n">
        <v>0.01036713806237023</v>
      </c>
      <c r="G10" s="219" t="n">
        <v>0.01825149491863809</v>
      </c>
      <c r="H10" s="15" t="inlineStr">
        <is>
          <t>가능</t>
        </is>
      </c>
      <c r="I10" s="20" t="n">
        <v>0.034</v>
      </c>
      <c r="J10" s="20" t="n">
        <v>0.045</v>
      </c>
      <c r="K10" s="20" t="n">
        <v>0.023</v>
      </c>
      <c r="L10" s="5" t="inlineStr">
        <is>
          <t>306.9 / 6.8</t>
        </is>
      </c>
      <c r="M10" s="5" t="inlineStr">
        <is>
          <t>원자로, 증기발생기, 터빈 등 원전 주기기, 가스터빈, 대형 주단조, SMR 부품, 풍력</t>
        </is>
      </c>
      <c r="N10" s="5" t="inlineStr">
        <is>
          <t>원전, 가스터빈 중심 발전설비 종합기업</t>
        </is>
      </c>
      <c r="O10" s="5" t="inlineStr">
        <is>
          <t>매출 CAGR(3Y) 3.1%, 영업이익률 3.7%, ROE 2.3%로 성장성과 수익성이 낮고, PER 306.9배로 주가 부담이 높아 제외.</t>
        </is>
      </c>
      <c r="P10" s="5" t="inlineStr">
        <is>
          <t>2024, 2025년 DART 사업보고서, KIND 투자지표 (기준일: 26년 6월)</t>
        </is>
      </c>
      <c r="Q10" s="5" t="inlineStr">
        <is>
          <t>탈락</t>
        </is>
      </c>
      <c r="R10" s="21" t="n"/>
    </row>
    <row r="11" ht="36" customHeight="1">
      <c r="A11" s="22" t="inlineStr">
        <is>
          <t>전력기기</t>
        </is>
      </c>
      <c r="B11" s="14" t="inlineStr">
        <is>
          <t>LS ELECTRIC</t>
        </is>
      </c>
      <c r="C11" s="15" t="inlineStr">
        <is>
          <t>010120</t>
        </is>
      </c>
      <c r="D11" s="16" t="n">
        <v>194700</v>
      </c>
      <c r="E11" s="218" t="n">
        <v>29.205</v>
      </c>
      <c r="F11" s="18" t="n">
        <v>0.005483378600008368</v>
      </c>
      <c r="G11" s="219" t="n">
        <v>0.04122466427678464</v>
      </c>
      <c r="H11" s="15" t="inlineStr">
        <is>
          <t>가능</t>
        </is>
      </c>
      <c r="I11" s="23" t="inlineStr">
        <is>
          <t>13.7%</t>
        </is>
      </c>
      <c r="J11" s="24" t="n">
        <v>0.08599999999999999</v>
      </c>
      <c r="K11" s="24" t="n">
        <v>0.147</v>
      </c>
      <c r="L11" s="25" t="inlineStr">
        <is>
          <t>91 / 16.6</t>
        </is>
      </c>
      <c r="M11" s="25" t="inlineStr">
        <is>
          <t>배전반, 차단기, 변압기, 배전 자동화, ESS, 전력 솔루션</t>
        </is>
      </c>
      <c r="N11" s="25" t="inlineStr">
        <is>
          <t>배전, 자동화 + 데이터센터 전력 솔루션 업체</t>
        </is>
      </c>
      <c r="O11" s="25" t="inlineStr">
        <is>
          <t>매출 CAGR(3Y) 14.0%, 영업이익률 8.6%, ROE 14.7%로 영업이익률 제외 다른 지수가 TOP 3 대비 낮아 보류.</t>
        </is>
      </c>
      <c r="P11" s="25" t="inlineStr">
        <is>
          <t>2024, 2025년 DART 사업보고서, KIND 투자지표 (기준일: 26년 6월)</t>
        </is>
      </c>
      <c r="Q11" s="25" t="inlineStr">
        <is>
          <t>보류</t>
        </is>
      </c>
      <c r="R11" s="26" t="n"/>
    </row>
    <row r="12" ht="36" customHeight="1">
      <c r="A12" s="13" t="inlineStr">
        <is>
          <t>전력기기</t>
        </is>
      </c>
      <c r="B12" s="14" t="inlineStr">
        <is>
          <t>HD현대일렉트릭</t>
        </is>
      </c>
      <c r="C12" s="15" t="inlineStr">
        <is>
          <t>267260</t>
        </is>
      </c>
      <c r="D12" s="16" t="n">
        <v>700000</v>
      </c>
      <c r="E12" s="218" t="n">
        <v>25.232995</v>
      </c>
      <c r="F12" s="18" t="n">
        <v>0.00473761564105866</v>
      </c>
      <c r="G12" s="219" t="n">
        <v>0.14821399585901</v>
      </c>
      <c r="H12" s="15" t="inlineStr">
        <is>
          <t>가능</t>
        </is>
      </c>
      <c r="I12" s="20" t="n">
        <v>0.247</v>
      </c>
      <c r="J12" s="20" t="n">
        <v>0.244</v>
      </c>
      <c r="K12" s="20" t="n">
        <v>0.437</v>
      </c>
      <c r="L12" s="5" t="inlineStr">
        <is>
          <t>41.1 / 15.5</t>
        </is>
      </c>
      <c r="M12" s="5" t="inlineStr">
        <is>
          <t>초고압 변압기, 배전반, 차단기, 회전기기</t>
        </is>
      </c>
      <c r="N12" s="5" t="inlineStr">
        <is>
          <t>글로벌 초고압 전력기기 업체</t>
        </is>
      </c>
      <c r="O12" s="5" t="inlineStr">
        <is>
          <t>매출 CAGR(3Y) 24.7%, 영업이익률 24.4%, ROE 43.7%로 높은 성장성과 수익성을 보유하며, PER/PBR은 41.1배/15.5배 수준으로 나타남.</t>
        </is>
      </c>
      <c r="P12" s="5" t="inlineStr">
        <is>
          <t>2024, 2025년 DART 사업보고서, KIND 투자지표 (기준일: 26년 6월)</t>
        </is>
      </c>
      <c r="Q12" s="5" t="inlineStr">
        <is>
          <t>Top2</t>
        </is>
      </c>
      <c r="R12" s="21" t="n"/>
    </row>
    <row r="13" ht="36" customHeight="1">
      <c r="A13" s="22" t="inlineStr">
        <is>
          <t>전력기기</t>
        </is>
      </c>
      <c r="B13" s="14" t="inlineStr">
        <is>
          <t>효성중공업</t>
        </is>
      </c>
      <c r="C13" s="15" t="inlineStr">
        <is>
          <t>298040</t>
        </is>
      </c>
      <c r="D13" s="16" t="n">
        <v>2689000</v>
      </c>
      <c r="E13" s="218" t="n">
        <v>25.07371</v>
      </c>
      <c r="F13" s="18" t="n">
        <v>0.00470770911956226</v>
      </c>
      <c r="G13" s="219" t="n">
        <v>0.569353478378397</v>
      </c>
      <c r="H13" s="27" t="inlineStr">
        <is>
          <t>매수 불가</t>
        </is>
      </c>
      <c r="I13" s="24" t="n">
        <v>0.194</v>
      </c>
      <c r="J13" s="24" t="n">
        <v>0.125</v>
      </c>
      <c r="K13" s="24" t="n">
        <v>0.253</v>
      </c>
      <c r="L13" s="25" t="inlineStr">
        <is>
          <t>54.7 / 12.4</t>
        </is>
      </c>
      <c r="M13" s="25" t="inlineStr">
        <is>
          <t>변압기, GIS, 차단기, STATCOM, HVDC</t>
        </is>
      </c>
      <c r="N13" s="25" t="inlineStr">
        <is>
          <t>초고압 변압기, 송전 분야 국내 업체</t>
        </is>
      </c>
      <c r="O13" s="25" t="inlineStr">
        <is>
          <t>1주 2,689,000원이 팀 예산의 56.9%여서 매수 불가.</t>
        </is>
      </c>
      <c r="P13" s="25" t="inlineStr">
        <is>
          <t>2024, 2025년 DART 사업보고서, KIND 투자지표 (기준일: 26년 6월)</t>
        </is>
      </c>
      <c r="Q13" s="25" t="inlineStr">
        <is>
          <t>탈락</t>
        </is>
      </c>
      <c r="R13" s="26" t="n"/>
    </row>
    <row r="14" ht="36" customHeight="1">
      <c r="A14" s="13" t="inlineStr">
        <is>
          <t>전력망</t>
        </is>
      </c>
      <c r="B14" s="14" t="inlineStr">
        <is>
          <t>한국전력</t>
        </is>
      </c>
      <c r="C14" s="15" t="inlineStr">
        <is>
          <t>015760</t>
        </is>
      </c>
      <c r="D14" s="16" t="n">
        <v>31350</v>
      </c>
      <c r="E14" s="218" t="n">
        <v>20.125574</v>
      </c>
      <c r="F14" s="18" t="n">
        <v>0.003778672891096895</v>
      </c>
      <c r="G14" s="219" t="n">
        <v>0.006637869671685662</v>
      </c>
      <c r="H14" s="15" t="inlineStr">
        <is>
          <t>가능</t>
        </is>
      </c>
      <c r="I14" s="28" t="n">
        <v>0.11</v>
      </c>
      <c r="J14" s="20" t="n">
        <v>0.138</v>
      </c>
      <c r="K14" s="20" t="n">
        <v>0.168</v>
      </c>
      <c r="L14" s="5" t="inlineStr">
        <is>
          <t>3 / 0.5</t>
        </is>
      </c>
      <c r="M14" s="5" t="inlineStr">
        <is>
          <t>전력 발전, 송전, 배전, 판매, 전력계통 운영</t>
        </is>
      </c>
      <c r="N14" s="5" t="inlineStr">
        <is>
          <t>국내 전력산업의 공기업, 전력망 운영자</t>
        </is>
      </c>
      <c r="O14" s="5" t="inlineStr">
        <is>
          <t>매출 CAGR(3Y)이 11.0%, 영업이익률 13.8%, ROE 16.8%로 실적 성장성이 TOP 3보다 낮아 보류.</t>
        </is>
      </c>
      <c r="P14" s="5" t="inlineStr">
        <is>
          <t>2024, 2025년 DART 사업보고서, KIND 투자지표 (기준일: 26년 6월)</t>
        </is>
      </c>
      <c r="Q14" s="5" t="inlineStr">
        <is>
          <t>보류</t>
        </is>
      </c>
      <c r="R14" s="21" t="n"/>
    </row>
    <row r="15" ht="36" customHeight="1">
      <c r="A15" s="22" t="inlineStr">
        <is>
          <t>전력기기</t>
        </is>
      </c>
      <c r="B15" s="14" t="inlineStr">
        <is>
          <t>산일전기</t>
        </is>
      </c>
      <c r="C15" s="15" t="inlineStr">
        <is>
          <t>062040</t>
        </is>
      </c>
      <c r="D15" s="16" t="n">
        <v>187500</v>
      </c>
      <c r="E15" s="218" t="n">
        <v>5.745534</v>
      </c>
      <c r="F15" s="18" t="n">
        <v>0.001078751521356633</v>
      </c>
      <c r="G15" s="219" t="n">
        <v>0.03970017746223482</v>
      </c>
      <c r="H15" s="15" t="inlineStr">
        <is>
          <t>가능</t>
        </is>
      </c>
      <c r="I15" s="24" t="n">
        <v>0.67</v>
      </c>
      <c r="J15" s="24" t="n">
        <v>0.356</v>
      </c>
      <c r="K15" s="24" t="n">
        <v>0.311</v>
      </c>
      <c r="L15" s="25" t="inlineStr">
        <is>
          <t>40.3 / 11</t>
        </is>
      </c>
      <c r="M15" s="25" t="inlineStr">
        <is>
          <t>특수 변압기, 전력용 변압기, 배전용 변압기, 몰드변압기</t>
        </is>
      </c>
      <c r="N15" s="25" t="inlineStr">
        <is>
          <t>변압기 전문 중소형 업체, 북미, 유럽 특수변압기 수출</t>
        </is>
      </c>
      <c r="O15" s="25" t="inlineStr">
        <is>
          <t>매출 CAGR(3Y)이 67.0%로 비교 기업 중 가장 높고, 영업이익률 35.6%, ROE 31.1%로 성장성과 수익성을 동시에 확보.</t>
        </is>
      </c>
      <c r="P15" s="25" t="inlineStr">
        <is>
          <t>2024, 2025년 DART 사업보고서, KIND 투자지표 (기준일: 26년 6월)</t>
        </is>
      </c>
      <c r="Q15" s="25" t="inlineStr">
        <is>
          <t>Top1</t>
        </is>
      </c>
      <c r="R15" s="26" t="n"/>
    </row>
    <row r="16" ht="16.5" customHeight="1">
      <c r="A16" s="13" t="inlineStr">
        <is>
          <t>원전</t>
        </is>
      </c>
      <c r="B16" s="14" t="inlineStr">
        <is>
          <t>한전기술</t>
        </is>
      </c>
      <c r="C16" s="15" t="inlineStr">
        <is>
          <t>052690</t>
        </is>
      </c>
      <c r="D16" s="16" t="n">
        <v>143800</v>
      </c>
      <c r="E16" s="218" t="n">
        <v>5.496036</v>
      </c>
      <c r="F16" s="18" t="n">
        <v>0.00103190707711952</v>
      </c>
      <c r="G16" s="219" t="n">
        <v>0.03044738943503663</v>
      </c>
      <c r="H16" s="15" t="inlineStr">
        <is>
          <t>가능</t>
        </is>
      </c>
      <c r="I16" s="20" t="n">
        <v>0.008999999999999999</v>
      </c>
      <c r="J16" s="20" t="n">
        <v>0.068</v>
      </c>
      <c r="K16" s="28" t="n">
        <v>0.06</v>
      </c>
      <c r="L16" s="5" t="inlineStr">
        <is>
          <t>64.4 / 6.9</t>
        </is>
      </c>
      <c r="M16" s="5" t="inlineStr">
        <is>
          <t>원전 종합설계 및 엔지니어링, 원자로 계통설계</t>
        </is>
      </c>
      <c r="N16" s="5" t="inlineStr">
        <is>
          <t>원전 설계, 엔지니어링 전문기업</t>
        </is>
      </c>
      <c r="O16" s="5" t="inlineStr">
        <is>
          <t>매출 CAGR(3Y)이 0.9%, 영업이익률 6.8%, ROE 6.0%에 그쳐 성장성과 수익성 모두 상대적으로 낮은 반면 PER은 114.1배로 높은 수준.</t>
        </is>
      </c>
      <c r="P16" s="5" t="inlineStr">
        <is>
          <t>2024, 2025년 DART 사업보고서, KIND 투자지표 (기준일: 26년 6월)</t>
        </is>
      </c>
      <c r="Q16" s="5" t="inlineStr">
        <is>
          <t>탈락</t>
        </is>
      </c>
      <c r="R16" s="21" t="n"/>
    </row>
    <row r="17" ht="48" customHeight="1">
      <c r="A17" s="22" t="inlineStr">
        <is>
          <t>전력망</t>
        </is>
      </c>
      <c r="B17" s="14" t="inlineStr">
        <is>
          <t>대한전선</t>
        </is>
      </c>
      <c r="C17" s="15" t="inlineStr">
        <is>
          <t>001440</t>
        </is>
      </c>
      <c r="D17" s="16" t="n">
        <v>27900</v>
      </c>
      <c r="E17" s="218" t="n">
        <v>5.468193</v>
      </c>
      <c r="F17" s="18" t="n">
        <v>0.001026679420541536</v>
      </c>
      <c r="G17" s="219" t="n">
        <v>0.005907386406380542</v>
      </c>
      <c r="H17" s="15" t="inlineStr">
        <is>
          <t>가능</t>
        </is>
      </c>
      <c r="I17" s="24" t="n">
        <v>0.141</v>
      </c>
      <c r="J17" s="24" t="n">
        <v>0.035</v>
      </c>
      <c r="K17" s="24" t="n">
        <v>0.032</v>
      </c>
      <c r="L17" s="25" t="inlineStr">
        <is>
          <t>64.9 / 3.1</t>
        </is>
      </c>
      <c r="M17" s="25" t="inlineStr">
        <is>
          <t>초고압 전력케이블, 해저케이블, 통신케이블</t>
        </is>
      </c>
      <c r="N17" s="25" t="inlineStr">
        <is>
          <t>글로벌 송전케이블, 해저케이블 업체</t>
        </is>
      </c>
      <c r="O17" s="25" t="inlineStr">
        <is>
          <t>매출 CAGR(3Y) 14.1%, 영업이익률 3.5%, ROE 3.2%로 외형 성장에 비해 수익성이 낮고, PER 101.5배로 주가 부담이 큼.</t>
        </is>
      </c>
      <c r="P17" s="25" t="inlineStr">
        <is>
          <t>2024, 2025년 DART 사업보고서, KIND 투자지표 (기준일: 26년 6월)  ROE, PER: KIND 26년 3월 기준</t>
        </is>
      </c>
      <c r="Q17" s="25" t="inlineStr">
        <is>
          <t>탈락</t>
        </is>
      </c>
      <c r="R17" s="26" t="n"/>
    </row>
    <row r="18" ht="36" customHeight="1">
      <c r="A18" s="13" t="inlineStr">
        <is>
          <t>가스</t>
        </is>
      </c>
      <c r="B18" s="14" t="inlineStr">
        <is>
          <t>한국가스공사</t>
        </is>
      </c>
      <c r="C18" s="15" t="inlineStr">
        <is>
          <t>036460</t>
        </is>
      </c>
      <c r="D18" s="16" t="n">
        <v>36900</v>
      </c>
      <c r="E18" s="218" t="n">
        <v>3.40635</v>
      </c>
      <c r="F18" s="18" t="n">
        <v>0.0006395585240246021</v>
      </c>
      <c r="G18" s="219" t="n">
        <v>0.007812994924567813</v>
      </c>
      <c r="H18" s="15" t="inlineStr">
        <is>
          <t>가능</t>
        </is>
      </c>
      <c r="I18" s="20" t="n">
        <v>-0.1159</v>
      </c>
      <c r="J18" s="20" t="n">
        <v>0.0589</v>
      </c>
      <c r="K18" s="28" t="n">
        <v>0.05</v>
      </c>
      <c r="L18" s="5" t="inlineStr">
        <is>
          <t>4.9 / 0.2</t>
        </is>
      </c>
      <c r="M18" s="5" t="inlineStr">
        <is>
          <t>LNG 수입, 도매, LNG 저장, 터미널, 배관망, 해외 자원개발</t>
        </is>
      </c>
      <c r="N18" s="5" t="inlineStr">
        <is>
          <t>국내 천연가스 도매, 인프라 독점적 사업자</t>
        </is>
      </c>
      <c r="O18" s="5" t="inlineStr">
        <is>
          <t>매출 CAGR(3Y)이 -11.59%로 역성장을 기록했으며, 영업이익률 5.89%, ROE 5.0%로 수익성도 TOP 3 대비 낮아 제외.</t>
        </is>
      </c>
      <c r="P18" s="5" t="inlineStr">
        <is>
          <t>2024, 2025년 DART 사업보고서, KIND 투자지표 (기준일: 26년 6월)</t>
        </is>
      </c>
      <c r="Q18" s="5" t="inlineStr">
        <is>
          <t>탈락</t>
        </is>
      </c>
      <c r="R18" s="21" t="n"/>
    </row>
    <row r="19" ht="60" customHeight="1">
      <c r="A19" s="22" t="inlineStr">
        <is>
          <t>원전</t>
        </is>
      </c>
      <c r="B19" s="14" t="inlineStr">
        <is>
          <t>두산퓨얼셀</t>
        </is>
      </c>
      <c r="C19" s="15" t="inlineStr">
        <is>
          <t>336260</t>
        </is>
      </c>
      <c r="D19" s="16" t="n">
        <v>51600</v>
      </c>
      <c r="E19" s="218" t="n">
        <v>3.379476</v>
      </c>
      <c r="F19" s="18" t="n">
        <v>0.0006345128018367362</v>
      </c>
      <c r="G19" s="219" t="n">
        <v>0.01092548883760702</v>
      </c>
      <c r="H19" s="15" t="inlineStr">
        <is>
          <t>가능</t>
        </is>
      </c>
      <c r="I19" s="24" t="n">
        <v>0.134</v>
      </c>
      <c r="J19" s="24" t="n">
        <v>-0.232</v>
      </c>
      <c r="K19" s="24" t="n">
        <v>-0.481</v>
      </c>
      <c r="L19" s="25" t="inlineStr">
        <is>
          <t>N/A / 15.3</t>
        </is>
      </c>
      <c r="M19" s="25" t="inlineStr">
        <is>
          <t>발전용 연료전지, 연료전지 시스템, 서비스</t>
        </is>
      </c>
      <c r="N19" s="25" t="inlineStr">
        <is>
          <t>국내 발전용 연료전지 업체</t>
        </is>
      </c>
      <c r="O19" s="25" t="inlineStr">
        <is>
          <t>매출 CAGR(3Y) 13.4%에도 불구하고 영업이익률 -23.2%, ROE -48.1%로 수익성이 부진해 제외.</t>
        </is>
      </c>
      <c r="P19" s="25" t="inlineStr">
        <is>
          <t>2024, 2025년 DART 사업보고서, KIND 투자지표 (기준일: 26년 6월)  ROE, PER: 토스증권 기업정보(2026.09.21기준)</t>
        </is>
      </c>
      <c r="Q19" s="25" t="inlineStr">
        <is>
          <t>탈락</t>
        </is>
      </c>
      <c r="R19" s="26" t="n"/>
    </row>
    <row r="20" ht="16.5" customHeight="1">
      <c r="A20" s="13" t="inlineStr">
        <is>
          <t>전력기기</t>
        </is>
      </c>
      <c r="B20" s="14" t="inlineStr">
        <is>
          <t>일진전기</t>
        </is>
      </c>
      <c r="C20" s="15" t="inlineStr">
        <is>
          <t>103590</t>
        </is>
      </c>
      <c r="D20" s="16" t="n">
        <v>68400</v>
      </c>
      <c r="E20" s="218" t="n">
        <v>3.261681</v>
      </c>
      <c r="F20" s="18" t="n">
        <v>0.0006123962265178528</v>
      </c>
      <c r="G20" s="219" t="n">
        <v>0.01448262473822326</v>
      </c>
      <c r="H20" s="15" t="inlineStr">
        <is>
          <t>가능</t>
        </is>
      </c>
      <c r="I20" s="20" t="n">
        <v>0.206</v>
      </c>
      <c r="J20" s="20" t="n">
        <v>0.074</v>
      </c>
      <c r="K20" s="20" t="n">
        <v>0.237</v>
      </c>
      <c r="L20" s="5" t="inlineStr">
        <is>
          <t>25.9 / 5.6</t>
        </is>
      </c>
      <c r="M20" s="5" t="inlineStr">
        <is>
          <t>변압기, 전력선, 전선, 배전 기기</t>
        </is>
      </c>
      <c r="N20" s="5" t="inlineStr">
        <is>
          <t>변압기, 전선, 차단기 중심 종합 중전기 업체</t>
        </is>
      </c>
      <c r="O20" s="5" t="inlineStr">
        <is>
          <t>매출 CAGR(3Y) 20.6%, 영업이익률 7.4%, ROE 23.7%로 높은 성장성과 자본효율성을 보유.</t>
        </is>
      </c>
      <c r="P20" s="5" t="inlineStr">
        <is>
          <t>2024, 2025년 DART 사업보고서, KIND 투자지표 (기준일: 26년 6월)</t>
        </is>
      </c>
      <c r="Q20" s="5" t="inlineStr">
        <is>
          <t>Top3</t>
        </is>
      </c>
      <c r="R20" s="21" t="n"/>
    </row>
    <row r="21">
      <c r="A21" s="22" t="n"/>
      <c r="B21" s="14" t="inlineStr">
        <is>
          <t>씨에스윈드</t>
        </is>
      </c>
      <c r="C21" s="15" t="inlineStr">
        <is>
          <t>112610</t>
        </is>
      </c>
      <c r="D21" s="16" t="n">
        <v>53000</v>
      </c>
      <c r="E21" s="218" t="n">
        <v>2.235084</v>
      </c>
      <c r="F21" s="18" t="n">
        <v>0.0004196477238425305</v>
      </c>
      <c r="G21" s="219" t="n">
        <v>0.01122191682932504</v>
      </c>
      <c r="H21" s="15" t="inlineStr">
        <is>
          <t>가능</t>
        </is>
      </c>
      <c r="I21" s="25" t="n"/>
      <c r="J21" s="25" t="n"/>
      <c r="K21" s="25" t="n"/>
      <c r="L21" s="25" t="n"/>
      <c r="M21" s="25" t="n"/>
      <c r="N21" s="25" t="n"/>
      <c r="O21" s="25" t="n"/>
      <c r="P21" s="25" t="n"/>
      <c r="Q21" s="25" t="n"/>
      <c r="R21" s="26" t="n"/>
    </row>
    <row r="22">
      <c r="A22" s="13" t="n"/>
      <c r="B22" s="14" t="inlineStr">
        <is>
          <t>한전KPS</t>
        </is>
      </c>
      <c r="C22" s="15" t="inlineStr">
        <is>
          <t>051600</t>
        </is>
      </c>
      <c r="D22" s="16" t="n">
        <v>47600</v>
      </c>
      <c r="E22" s="218" t="n">
        <v>2.142</v>
      </c>
      <c r="F22" s="18" t="n">
        <v>0.0004021707571038495</v>
      </c>
      <c r="G22" s="219" t="n">
        <v>0.01007855171841268</v>
      </c>
      <c r="H22" s="15" t="inlineStr">
        <is>
          <t>가능</t>
        </is>
      </c>
      <c r="I22" s="5" t="n"/>
      <c r="J22" s="5" t="n"/>
      <c r="K22" s="5" t="n"/>
      <c r="L22" s="5" t="n"/>
      <c r="M22" s="5" t="n"/>
      <c r="N22" s="5" t="n"/>
      <c r="O22" s="5" t="n"/>
      <c r="P22" s="5" t="n"/>
      <c r="Q22" s="5" t="n"/>
      <c r="R22" s="21" t="n"/>
    </row>
    <row r="23">
      <c r="A23" s="22" t="n"/>
      <c r="B23" s="14" t="inlineStr">
        <is>
          <t>비에이치아이</t>
        </is>
      </c>
      <c r="C23" s="15" t="inlineStr">
        <is>
          <t>083650</t>
        </is>
      </c>
      <c r="D23" s="16" t="n">
        <v>65200</v>
      </c>
      <c r="E23" s="218" t="n">
        <v>2.017573</v>
      </c>
      <c r="F23" s="18" t="n">
        <v>0.0003788089920272105</v>
      </c>
      <c r="G23" s="219" t="n">
        <v>0.01380507504286779</v>
      </c>
      <c r="H23" s="15" t="inlineStr">
        <is>
          <t>가능</t>
        </is>
      </c>
      <c r="I23" s="25" t="n"/>
      <c r="J23" s="25" t="n"/>
      <c r="K23" s="25" t="n"/>
      <c r="L23" s="25" t="n"/>
      <c r="M23" s="25" t="n"/>
      <c r="N23" s="25" t="n"/>
      <c r="O23" s="25" t="n"/>
      <c r="P23" s="25" t="n"/>
      <c r="Q23" s="25" t="n"/>
      <c r="R23" s="26" t="n"/>
    </row>
    <row r="24">
      <c r="A24" s="13" t="n"/>
      <c r="B24" s="14" t="inlineStr">
        <is>
          <t>SK이터닉스</t>
        </is>
      </c>
      <c r="C24" s="15" t="inlineStr">
        <is>
          <t>475150</t>
        </is>
      </c>
      <c r="D24" s="16" t="n">
        <v>49900</v>
      </c>
      <c r="E24" s="218" t="n">
        <v>1.699943</v>
      </c>
      <c r="F24" s="18" t="n">
        <v>0.0003191724385356625</v>
      </c>
      <c r="G24" s="219" t="n">
        <v>0.01056554056194943</v>
      </c>
      <c r="H24" s="15" t="inlineStr">
        <is>
          <t>가능</t>
        </is>
      </c>
      <c r="I24" s="5" t="n"/>
      <c r="J24" s="5" t="n"/>
      <c r="K24" s="5" t="n"/>
      <c r="L24" s="5" t="n"/>
      <c r="M24" s="5" t="n"/>
      <c r="N24" s="5" t="n"/>
      <c r="O24" s="5" t="n"/>
      <c r="P24" s="5" t="n"/>
      <c r="Q24" s="5" t="n"/>
      <c r="R24" s="21" t="n"/>
    </row>
    <row r="25">
      <c r="A25" s="22" t="n"/>
      <c r="B25" s="14" t="inlineStr">
        <is>
          <t>LS에코에너지</t>
        </is>
      </c>
      <c r="C25" s="15" t="inlineStr">
        <is>
          <t>229640</t>
        </is>
      </c>
      <c r="D25" s="16" t="n">
        <v>49850</v>
      </c>
      <c r="E25" s="218" t="n">
        <v>1.52665</v>
      </c>
      <c r="F25" s="18" t="n">
        <v>0.0002866358479610606</v>
      </c>
      <c r="G25" s="219" t="n">
        <v>0.0105549538479595</v>
      </c>
      <c r="H25" s="15" t="inlineStr">
        <is>
          <t>가능</t>
        </is>
      </c>
      <c r="I25" s="25" t="n"/>
      <c r="J25" s="25" t="n"/>
      <c r="K25" s="25" t="n"/>
      <c r="L25" s="25" t="n"/>
      <c r="M25" s="25" t="n"/>
      <c r="N25" s="25" t="n"/>
      <c r="O25" s="25" t="n"/>
      <c r="P25" s="25" t="n"/>
      <c r="Q25" s="25" t="n"/>
      <c r="R25" s="26" t="n"/>
    </row>
    <row r="26">
      <c r="A26" s="13" t="n"/>
      <c r="B26" s="14" t="inlineStr">
        <is>
          <t>HD현대에너지솔루션</t>
        </is>
      </c>
      <c r="C26" s="15" t="inlineStr">
        <is>
          <t>322000</t>
        </is>
      </c>
      <c r="D26" s="16" t="n">
        <v>123400</v>
      </c>
      <c r="E26" s="218" t="n">
        <v>1.38208</v>
      </c>
      <c r="F26" s="18" t="n">
        <v>0.0002594921381783792</v>
      </c>
      <c r="G26" s="219" t="n">
        <v>0.02612801012714548</v>
      </c>
      <c r="H26" s="15" t="inlineStr">
        <is>
          <t>가능</t>
        </is>
      </c>
      <c r="I26" s="5" t="n"/>
      <c r="J26" s="5" t="n"/>
      <c r="K26" s="5" t="n"/>
      <c r="L26" s="5" t="n"/>
      <c r="M26" s="5" t="n"/>
      <c r="N26" s="5" t="n"/>
      <c r="O26" s="5" t="n"/>
      <c r="P26" s="5" t="n"/>
      <c r="Q26" s="5" t="n"/>
      <c r="R26" s="21" t="n"/>
    </row>
    <row r="27" ht="17.25" customHeight="1">
      <c r="A27" s="29" t="n"/>
      <c r="B27" s="30" t="inlineStr">
        <is>
          <t>비츠로셀</t>
        </is>
      </c>
      <c r="C27" s="31" t="inlineStr">
        <is>
          <t>082920</t>
        </is>
      </c>
      <c r="D27" s="32" t="n">
        <v>26700</v>
      </c>
      <c r="E27" s="220" t="n">
        <v>1.205224</v>
      </c>
      <c r="F27" s="34" t="n">
        <v>0.0002262865772921241</v>
      </c>
      <c r="G27" s="221" t="n">
        <v>0.005653305270622239</v>
      </c>
      <c r="H27" s="31" t="inlineStr">
        <is>
          <t>가능</t>
        </is>
      </c>
      <c r="I27" s="36" t="n"/>
      <c r="J27" s="36" t="n"/>
      <c r="K27" s="36" t="n"/>
      <c r="L27" s="36" t="n"/>
      <c r="M27" s="36" t="n"/>
      <c r="N27" s="36" t="n"/>
      <c r="O27" s="36" t="n"/>
      <c r="P27" s="36" t="n"/>
      <c r="Q27" s="36" t="n"/>
      <c r="R27" s="26" t="n"/>
    </row>
    <row r="29" ht="21.95" customHeight="1">
      <c r="A29" s="37" t="inlineStr">
        <is>
          <t>선정 결과</t>
        </is>
      </c>
      <c r="B29" s="37" t="n"/>
      <c r="C29" s="37" t="n"/>
      <c r="D29" s="37" t="n"/>
      <c r="E29" s="37" t="n"/>
      <c r="F29" s="37" t="n"/>
      <c r="G29" s="37" t="n"/>
      <c r="H29" s="37" t="n"/>
      <c r="I29" s="37" t="n"/>
      <c r="J29" s="37" t="n"/>
      <c r="K29" s="37" t="n"/>
      <c r="L29" s="37" t="n"/>
      <c r="M29" s="37" t="n"/>
      <c r="N29" s="37" t="n"/>
      <c r="O29" s="37" t="n"/>
      <c r="P29" s="37" t="n"/>
      <c r="Q29" s="37" t="n"/>
      <c r="R29" s="38" t="inlineStr">
        <is>
          <t>출처</t>
        </is>
      </c>
    </row>
    <row r="30" ht="18.95" customHeight="1">
      <c r="A30" s="4" t="inlineStr">
        <is>
          <t>Top 1</t>
        </is>
      </c>
      <c r="B30" s="8" t="inlineStr">
        <is>
          <t>산일전기</t>
        </is>
      </c>
      <c r="C30" s="39" t="inlineStr">
        <is>
          <t>매출 CAGR(3Y)이 67.0%로 비교 기업 중 가장 높고, 영업이익률 35.6%, ROE 31.1%로 성장성과 수익성을 동시에 확보.</t>
        </is>
      </c>
      <c r="D30" s="40" t="n"/>
      <c r="E30" s="40" t="n"/>
      <c r="F30" s="40" t="n"/>
      <c r="G30" s="40" t="n"/>
      <c r="H30" s="40" t="n"/>
      <c r="I30" s="40" t="n"/>
      <c r="J30" s="40" t="n"/>
      <c r="K30" s="40" t="n"/>
      <c r="L30" s="40" t="n"/>
      <c r="M30" s="40" t="n"/>
      <c r="N30" s="40" t="n"/>
      <c r="O30" s="40" t="n"/>
      <c r="P30" s="40" t="n"/>
      <c r="Q30" s="9" t="n"/>
      <c r="R30" t="inlineStr">
        <is>
          <t>한국경제 컨센서스(기준일: 26.09.18)</t>
        </is>
      </c>
    </row>
    <row r="31" ht="18.95" customHeight="1">
      <c r="A31" s="4" t="inlineStr">
        <is>
          <t>Top 2</t>
        </is>
      </c>
      <c r="B31" s="8" t="inlineStr">
        <is>
          <t>HD현대일렉트릭</t>
        </is>
      </c>
      <c r="C31" s="5" t="inlineStr">
        <is>
          <t>매출 CAGR(3Y) 24.7%, 영업이익률 24.4%, ROE 43.7%로 높은 성장성과 수익성을 보유하며, PER/PBR은 41.1배/15.5배 수준으로 나타남.</t>
        </is>
      </c>
      <c r="D31" s="40" t="n"/>
      <c r="E31" s="40" t="n"/>
      <c r="F31" s="40" t="n"/>
      <c r="G31" s="40" t="n"/>
      <c r="H31" s="40" t="n"/>
      <c r="I31" s="40" t="n"/>
      <c r="J31" s="40" t="n"/>
      <c r="K31" s="40" t="n"/>
      <c r="L31" s="40" t="n"/>
      <c r="M31" s="40" t="n"/>
      <c r="N31" s="40" t="n"/>
      <c r="O31" s="40" t="n"/>
      <c r="P31" s="40" t="n"/>
      <c r="Q31" s="9" t="n"/>
    </row>
    <row r="32" ht="18.95" customHeight="1">
      <c r="A32" s="4" t="inlineStr">
        <is>
          <t>Top 3</t>
        </is>
      </c>
      <c r="B32" s="8" t="inlineStr">
        <is>
          <t>일진전기</t>
        </is>
      </c>
      <c r="C32" s="5" t="inlineStr">
        <is>
          <t>매출 CAGR(3Y) 20.6%, 영업이익률 7.4%, ROE 23.7%로 높은 성장성과 자본효율성을 보유.</t>
        </is>
      </c>
      <c r="D32" s="40" t="n"/>
      <c r="E32" s="40" t="n"/>
      <c r="F32" s="40" t="n"/>
      <c r="G32" s="40" t="n"/>
      <c r="H32" s="40" t="n"/>
      <c r="I32" s="40" t="n"/>
      <c r="J32" s="40" t="n"/>
      <c r="K32" s="40" t="n"/>
      <c r="L32" s="40" t="n"/>
      <c r="M32" s="40" t="n"/>
      <c r="N32" s="40" t="n"/>
      <c r="O32" s="40" t="n"/>
      <c r="P32" s="40" t="n"/>
      <c r="Q32" s="9" t="n"/>
    </row>
    <row r="33" ht="18.95" customHeight="1">
      <c r="A33" s="4" t="inlineStr">
        <is>
          <t>탈락 1</t>
        </is>
      </c>
      <c r="B33" s="8" t="inlineStr">
        <is>
          <t>두산에너빌리티</t>
        </is>
      </c>
      <c r="C33" s="41" t="inlineStr">
        <is>
          <t>매출 CAGR(3Y) 3.1%, 영업이익률 3.7%, ROE 2.3%로 성장성과 수익성이 낮고, PER 306.9배로 밸류에이션 부담이 높아 제외.</t>
        </is>
      </c>
      <c r="D33" s="40" t="n"/>
      <c r="E33" s="40" t="n"/>
      <c r="F33" s="40" t="n"/>
      <c r="G33" s="40" t="n"/>
      <c r="H33" s="40" t="n"/>
      <c r="I33" s="40" t="n"/>
      <c r="J33" s="40" t="n"/>
      <c r="K33" s="40" t="n"/>
      <c r="L33" s="40" t="n"/>
      <c r="M33" s="40" t="n"/>
      <c r="N33" s="40" t="n"/>
      <c r="O33" s="40" t="n"/>
      <c r="P33" s="40" t="n"/>
      <c r="Q33" s="9" t="n"/>
    </row>
    <row r="34" ht="18.95" customHeight="1">
      <c r="A34" s="4" t="inlineStr">
        <is>
          <t>탈락 2</t>
        </is>
      </c>
      <c r="B34" s="8" t="inlineStr">
        <is>
          <t>효성중공업</t>
        </is>
      </c>
      <c r="C34" s="5" t="inlineStr">
        <is>
          <t>1주 2,689,000원이 팀 예산의 56.9%여서 매수 불가.</t>
        </is>
      </c>
      <c r="D34" s="40" t="n"/>
      <c r="E34" s="40" t="n"/>
      <c r="F34" s="40" t="n"/>
      <c r="G34" s="40" t="n"/>
      <c r="H34" s="40" t="n"/>
      <c r="I34" s="40" t="n"/>
      <c r="J34" s="40" t="n"/>
      <c r="K34" s="40" t="n"/>
      <c r="L34" s="40" t="n"/>
      <c r="M34" s="40" t="n"/>
      <c r="N34" s="40" t="n"/>
      <c r="O34" s="40" t="n"/>
      <c r="P34" s="40" t="n"/>
      <c r="Q34" s="9" t="n"/>
    </row>
    <row r="35" ht="18.95" customHeight="1">
      <c r="A35" s="4" t="inlineStr">
        <is>
          <t>탈락 3</t>
        </is>
      </c>
      <c r="B35" s="8" t="inlineStr">
        <is>
          <t>한전기술</t>
        </is>
      </c>
      <c r="C35" s="5" t="inlineStr">
        <is>
          <t>매출 CAGR(3Y)이 0.9%, 영업이익률 6.8%, ROE 6.0%에 그쳐 성장성과 수익성 모두 상대적으로 낮은 반면 PER은 114.1배로 높은 수준.</t>
        </is>
      </c>
      <c r="D35" s="40" t="n"/>
      <c r="E35" s="40" t="n"/>
      <c r="F35" s="40" t="n"/>
      <c r="G35" s="40" t="n"/>
      <c r="H35" s="40" t="n"/>
      <c r="I35" s="40" t="n"/>
      <c r="J35" s="40" t="n"/>
      <c r="K35" s="40" t="n"/>
      <c r="L35" s="40" t="n"/>
      <c r="M35" s="40" t="n"/>
      <c r="N35" s="40" t="n"/>
      <c r="O35" s="40" t="n"/>
      <c r="P35" s="40" t="n"/>
      <c r="Q35" s="9" t="n"/>
    </row>
    <row r="36" ht="18.95" customHeight="1">
      <c r="A36" s="4" t="inlineStr">
        <is>
          <t>탈락 4</t>
        </is>
      </c>
      <c r="B36" s="8" t="inlineStr">
        <is>
          <t>대한전선</t>
        </is>
      </c>
      <c r="C36" s="5" t="inlineStr">
        <is>
          <t>매출 CAGR(3Y) 14.1%, 영업이익률 3.5%, ROE 3.2%로 외형 성장에 비해 수익성이 낮고, PER 101.5배로 밸류에이션 부담이 큼.</t>
        </is>
      </c>
      <c r="D36" s="40" t="n"/>
      <c r="E36" s="40" t="n"/>
      <c r="F36" s="40" t="n"/>
      <c r="G36" s="40" t="n"/>
      <c r="H36" s="40" t="n"/>
      <c r="I36" s="40" t="n"/>
      <c r="J36" s="40" t="n"/>
      <c r="K36" s="40" t="n"/>
      <c r="L36" s="40" t="n"/>
      <c r="M36" s="40" t="n"/>
      <c r="N36" s="40" t="n"/>
      <c r="O36" s="40" t="n"/>
      <c r="P36" s="40" t="n"/>
      <c r="Q36" s="9" t="n"/>
    </row>
    <row r="37" ht="18.95" customHeight="1">
      <c r="A37" s="42" t="inlineStr">
        <is>
          <t>탈락 5</t>
        </is>
      </c>
      <c r="B37" s="43" t="inlineStr">
        <is>
          <t>두산퓨얼셀</t>
        </is>
      </c>
      <c r="C37" s="44" t="inlineStr">
        <is>
          <t>매출 CAGR(3Y) 13.4%에도 불구하고 영업이익률 -23.2%, ROE -48.1%로 수익성이 부진해 제외.</t>
        </is>
      </c>
      <c r="D37" s="45" t="n"/>
      <c r="E37" s="45" t="n"/>
      <c r="F37" s="45" t="n"/>
      <c r="G37" s="45" t="n"/>
      <c r="H37" s="45" t="n"/>
      <c r="I37" s="45" t="n"/>
      <c r="J37" s="45" t="n"/>
      <c r="K37" s="45" t="n"/>
      <c r="L37" s="45" t="n"/>
      <c r="M37" s="45" t="n"/>
      <c r="N37" s="45" t="n"/>
      <c r="O37" s="45" t="n"/>
      <c r="P37" s="45" t="n"/>
      <c r="Q37" s="46" t="n"/>
    </row>
  </sheetData>
  <mergeCells count="15">
    <mergeCell ref="C30:Q30"/>
    <mergeCell ref="E4:F4"/>
    <mergeCell ref="C33:Q33"/>
    <mergeCell ref="C32:Q32"/>
    <mergeCell ref="B5:C5"/>
    <mergeCell ref="C36:Q36"/>
    <mergeCell ref="C37:Q37"/>
    <mergeCell ref="E5:F5"/>
    <mergeCell ref="K5:L5"/>
    <mergeCell ref="H5:I5"/>
    <mergeCell ref="C31:Q31"/>
    <mergeCell ref="H4:I4"/>
    <mergeCell ref="C34:Q34"/>
    <mergeCell ref="C35:Q35"/>
    <mergeCell ref="B4:C4"/>
  </mergeCells>
  <dataValidations count="1">
    <dataValidation sqref="Q10:R27" showDropDown="0" showInputMessage="0" showErrorMessage="0" allowBlank="1" type="list">
      <formula1>"Top1,Top2,Top3,보류,탈락"</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3"/>
  <sheetViews>
    <sheetView showGridLines="0" workbookViewId="0">
      <pane xSplit="1" ySplit="19" topLeftCell="B20" activePane="bottomRight" state="frozen"/>
      <selection pane="topRight" activeCell="A1" sqref="A1"/>
      <selection pane="bottomLeft" activeCell="A1" sqref="A1"/>
      <selection pane="bottomRight" activeCell="A1" sqref="A1"/>
    </sheetView>
  </sheetViews>
  <sheetFormatPr baseColWidth="8" defaultRowHeight="15"/>
  <cols>
    <col width="17.5" customWidth="1" min="1" max="1"/>
    <col width="16" customWidth="1" min="2" max="2"/>
    <col width="8" customWidth="1" min="3" max="3"/>
    <col width="10" customWidth="1" min="4" max="4"/>
    <col width="11" customWidth="1" min="5" max="5"/>
    <col width="10" customWidth="1" min="6" max="6"/>
    <col width="11" customWidth="1" min="7" max="7"/>
    <col width="10" customWidth="1" min="8" max="8"/>
    <col width="12" customWidth="1" min="9" max="9"/>
    <col width="10" customWidth="1" min="10" max="10"/>
    <col width="9" customWidth="1" min="11" max="11"/>
    <col width="14.3984375" customWidth="1" min="12" max="12"/>
    <col width="33.3984375" customWidth="1" min="13" max="13"/>
    <col width="39.59765625" customWidth="1" min="14" max="14"/>
    <col width="61.3984375" customWidth="1" min="15" max="15"/>
    <col width="18" customWidth="1" min="16" max="16"/>
    <col width="9" customWidth="1" min="17" max="17"/>
  </cols>
  <sheetData>
    <row r="1" ht="22.1" customHeight="1">
      <c r="A1" s="1" t="inlineStr">
        <is>
          <t>조선·기자재</t>
        </is>
      </c>
    </row>
    <row r="2">
      <c r="A2" s="2" t="inlineStr">
        <is>
          <t>ICOK Fund 26-2  ·  담당 산업 스크리닝</t>
        </is>
      </c>
    </row>
    <row r="3" ht="3" customHeight="1">
      <c r="A3" s="3" t="n"/>
      <c r="B3" s="3" t="n"/>
      <c r="C3" s="3" t="n"/>
      <c r="D3" s="3" t="n"/>
      <c r="E3" s="3" t="n"/>
      <c r="F3" s="3" t="n"/>
      <c r="G3" s="3" t="n"/>
      <c r="H3" s="3" t="n"/>
      <c r="I3" s="3" t="n"/>
      <c r="J3" s="3" t="n"/>
      <c r="K3" s="3" t="n"/>
      <c r="L3" s="3" t="n"/>
      <c r="M3" s="3" t="n"/>
      <c r="N3" s="3" t="n"/>
      <c r="O3" s="3" t="n"/>
      <c r="P3" s="3" t="n"/>
      <c r="Q3" s="3" t="n"/>
    </row>
    <row r="4" ht="16.9" customHeight="1">
      <c r="A4" s="4" t="inlineStr">
        <is>
          <t>팀</t>
        </is>
      </c>
      <c r="B4" s="8" t="inlineStr">
        <is>
          <t>팀 2 · 중후장대·인프라</t>
        </is>
      </c>
      <c r="C4" s="9" t="n"/>
      <c r="D4" s="4" t="inlineStr">
        <is>
          <t>담당자</t>
        </is>
      </c>
      <c r="E4" s="8" t="inlineStr">
        <is>
          <t>이준성</t>
        </is>
      </c>
      <c r="F4" s="9" t="n"/>
      <c r="G4" s="4" t="inlineStr">
        <is>
          <t>제출일</t>
        </is>
      </c>
      <c r="H4" s="8" t="n"/>
      <c r="I4" s="9" t="n"/>
    </row>
    <row r="5" ht="16.9" customHeight="1">
      <c r="A5" s="4" t="inlineStr">
        <is>
          <t>지수 비중</t>
        </is>
      </c>
      <c r="B5" s="8" t="inlineStr">
        <is>
          <t>2.60%</t>
        </is>
      </c>
      <c r="C5" s="9" t="n"/>
      <c r="D5" s="4" t="inlineStr">
        <is>
          <t>배정액</t>
        </is>
      </c>
      <c r="E5" s="8" t="inlineStr">
        <is>
          <t>727,472원</t>
        </is>
      </c>
      <c r="F5" s="9" t="n"/>
      <c r="G5" s="4" t="inlineStr">
        <is>
          <t>종목 수</t>
        </is>
      </c>
      <c r="H5" s="8" t="inlineStr">
        <is>
          <t>13</t>
        </is>
      </c>
      <c r="I5" s="9" t="n"/>
      <c r="J5" s="4" t="inlineStr">
        <is>
          <t>기준일</t>
        </is>
      </c>
      <c r="K5" s="8" t="inlineStr">
        <is>
          <t>2026-09-15</t>
        </is>
      </c>
      <c r="L5" s="9" t="n"/>
    </row>
    <row r="7">
      <c r="A7" s="2" t="inlineStr">
        <is>
          <t>음영 셀은 기입 완료. 흰색 셀만 작성한다.</t>
        </is>
      </c>
    </row>
    <row r="9" ht="26" customHeight="1">
      <c r="A9" s="47" t="inlineStr">
        <is>
          <t>하위 테마</t>
        </is>
      </c>
      <c r="B9" s="48" t="inlineStr">
        <is>
          <t>기업명</t>
        </is>
      </c>
      <c r="C9" s="48" t="inlineStr">
        <is>
          <t>코드</t>
        </is>
      </c>
      <c r="D9" s="48" t="inlineStr">
        <is>
          <t>주가</t>
        </is>
      </c>
      <c r="E9" s="48" t="inlineStr">
        <is>
          <t>시가총액(조)</t>
        </is>
      </c>
      <c r="F9" s="48" t="inlineStr">
        <is>
          <t>지수 비중</t>
        </is>
      </c>
      <c r="G9" s="48" t="inlineStr">
        <is>
          <t>1주 / 팀예산</t>
        </is>
      </c>
      <c r="H9" s="48" t="inlineStr">
        <is>
          <t>매수 판정</t>
        </is>
      </c>
      <c r="I9" s="48" t="inlineStr">
        <is>
          <t>매출 CAGR(3Y)</t>
        </is>
      </c>
      <c r="J9" s="48" t="inlineStr">
        <is>
          <t>영업이익률</t>
        </is>
      </c>
      <c r="K9" s="48" t="inlineStr">
        <is>
          <t>ROE</t>
        </is>
      </c>
      <c r="L9" s="48" t="inlineStr">
        <is>
          <t>PER / PBR (2025A)</t>
        </is>
      </c>
      <c r="M9" s="48" t="inlineStr">
        <is>
          <t>주요 제품</t>
        </is>
      </c>
      <c r="N9" s="48" t="inlineStr">
        <is>
          <t>시장 포지셔닝</t>
        </is>
      </c>
      <c r="O9" s="48" t="inlineStr">
        <is>
          <t>투자포인트 / 탈락 사유</t>
        </is>
      </c>
      <c r="P9" s="48" t="inlineStr">
        <is>
          <t>출처 · 기준일</t>
        </is>
      </c>
      <c r="Q9" s="49" t="inlineStr">
        <is>
          <t>판정</t>
        </is>
      </c>
    </row>
    <row r="10" ht="88.3" customHeight="1">
      <c r="A10" s="50" t="inlineStr">
        <is>
          <t>전력기기</t>
        </is>
      </c>
      <c r="B10" s="51" t="inlineStr">
        <is>
          <t>HD현대중공업</t>
        </is>
      </c>
      <c r="C10" s="51" t="inlineStr">
        <is>
          <t>329180</t>
        </is>
      </c>
      <c r="D10" s="52" t="n">
        <v>453500</v>
      </c>
      <c r="E10" s="222" t="n">
        <v>47.599916</v>
      </c>
      <c r="F10" s="54" t="n">
        <v>0.008937112164238861</v>
      </c>
      <c r="G10" s="223" t="n">
        <v>0.09602149588865863</v>
      </c>
      <c r="H10" s="51" t="inlineStr">
        <is>
          <t>가능</t>
        </is>
      </c>
      <c r="I10" s="56" t="n">
        <v>0.2479</v>
      </c>
      <c r="J10" s="56" t="n">
        <v>0.116</v>
      </c>
      <c r="K10" s="56" t="n">
        <v>0.152</v>
      </c>
      <c r="L10" s="57" t="inlineStr">
        <is>
          <t>29.30/5.17</t>
        </is>
      </c>
      <c r="M10" s="58" t="inlineStr">
        <is>
          <t xml:space="preserve">대형 LNG선, 컨테이너선 — 선박 자체건조 / K-방산 특수선 및 전력 발전용        힘센엔진(비조선 25~30%) </t>
        </is>
      </c>
      <c r="N10" s="59" t="inlineStr">
        <is>
          <t>매출 조선 65.2% · 엔진기계 25.8% ·                 해양·특수선 9.0%</t>
        </is>
      </c>
      <c r="O10" s="60" t="inlineStr">
        <is>
          <t>AI 전력난에 대응한 북미향 힘센엔진 비상발전기 수출 호조와 페루 6척 잠수함(HDS-1500) 본계약 가시화로 2026(E) 영업이익 4조 원을 돌파한다. 다만 노조의 임단협 파업 장기화에 따른 단기 생산 차질 노이즈와 2026(E) PBR 4.18배(2025A 5.17배)의 높은 주가 프리미엄이 신규 진입에 부담이다.</t>
        </is>
      </c>
      <c r="P10" s="61" t="inlineStr">
        <is>
          <t>DART 사업보고서        FY22-25(연결), FnGuide 2026년 9월 15일 기준</t>
        </is>
      </c>
      <c r="Q10" s="61" t="inlineStr">
        <is>
          <t>보류</t>
        </is>
      </c>
    </row>
    <row r="11" ht="89.40000000000001" customHeight="1">
      <c r="A11" s="62" t="inlineStr">
        <is>
          <t>방산</t>
        </is>
      </c>
      <c r="B11" s="51" t="inlineStr">
        <is>
          <t>한화오션</t>
        </is>
      </c>
      <c r="C11" s="51" t="inlineStr">
        <is>
          <t>042660</t>
        </is>
      </c>
      <c r="D11" s="52" t="n">
        <v>82400</v>
      </c>
      <c r="E11" s="222" t="n">
        <v>25.248464</v>
      </c>
      <c r="F11" s="54" t="n">
        <v>0.004740520019882954</v>
      </c>
      <c r="G11" s="223" t="n">
        <v>0.01744690465540346</v>
      </c>
      <c r="H11" s="51" t="inlineStr">
        <is>
          <t>가능</t>
        </is>
      </c>
      <c r="I11" s="63" t="n">
        <v>0.3804</v>
      </c>
      <c r="J11" s="63" t="n">
        <v>0.09130000000000001</v>
      </c>
      <c r="K11" s="63" t="n">
        <v>0.2018</v>
      </c>
      <c r="L11" s="64" t="inlineStr">
        <is>
          <t>20.39/4.12</t>
        </is>
      </c>
      <c r="M11" s="65" t="inlineStr">
        <is>
          <t>대형 LNG선, VLAC — 가스선 건조 /      K-방산 잠수함·MRO 및 해상풍력 WTIV(매출 15~20%)</t>
        </is>
      </c>
      <c r="N11" s="59" t="inlineStr">
        <is>
          <t>매출 상선 81.4% · 특수선(방산) 11.8% ·            해양플랜트 6.8%</t>
        </is>
      </c>
      <c r="O11" s="65" t="inlineStr">
        <is>
          <t>국내 최초로 미 해군 함정 정비 협약(MSRA)을 체결하고 군수지원함 MRO 사업을 수주하며 미국 시장을 뚫었다. 5조 원 규모의 사우디아라비아 잠수함 등 해외 파이프라인이 가장 넓어, 2026(E) 영업이익 2조 2,486억 원(YoY +92.6%) 달성과 함께 2026(E) PBR 3.08배로 HD현대중공업(4.18배) 대비 26.3% 낮은 배수에 거래되고 있다.</t>
        </is>
      </c>
      <c r="P11" s="61" t="inlineStr">
        <is>
          <t>DART 사업보고서        FY22-25(연결), FnGuide 2026년 9월 15일 기준</t>
        </is>
      </c>
      <c r="Q11" s="66" t="inlineStr">
        <is>
          <t>보류</t>
        </is>
      </c>
    </row>
    <row r="12" ht="105.05" customHeight="1">
      <c r="A12" s="50" t="inlineStr">
        <is>
          <t>에너지 자원개발</t>
        </is>
      </c>
      <c r="B12" s="51" t="inlineStr">
        <is>
          <t>HD한국조선해양</t>
        </is>
      </c>
      <c r="C12" s="51" t="inlineStr">
        <is>
          <t>009540</t>
        </is>
      </c>
      <c r="D12" s="52" t="n">
        <v>339000</v>
      </c>
      <c r="E12" s="222" t="n">
        <v>23.992086</v>
      </c>
      <c r="F12" s="54" t="n">
        <v>0.004504629034136633</v>
      </c>
      <c r="G12" s="223" t="n">
        <v>0.07177792085172056</v>
      </c>
      <c r="H12" s="51" t="inlineStr">
        <is>
          <t>가능</t>
        </is>
      </c>
      <c r="I12" s="56" t="n">
        <v>0.2005</v>
      </c>
      <c r="J12" s="56" t="n">
        <v>0.1304</v>
      </c>
      <c r="K12" s="56" t="n">
        <v>0.1732</v>
      </c>
      <c r="L12" s="57" t="inlineStr">
        <is>
          <t>11.02/1.80</t>
        </is>
      </c>
      <c r="M12" s="58" t="inlineStr">
        <is>
          <t>HD현대중공업 78.0% · HD현대삼호 95.7% · HD현대미포 —                       대형 상선·엔진 중간지주</t>
        </is>
      </c>
      <c r="N12" s="59" t="inlineStr">
        <is>
          <t>매출 조선 84.5% · 엔진기계 11.2% ·                 해양플랜트 4.3%</t>
        </is>
      </c>
      <c r="O12" s="58" t="inlineStr">
        <is>
          <t>현대중공업·삼호 등 조선 자회사들의 연간 수주 목표 조기 초과 달성에 힘입어 2026(E) 영업이익이 6조 1,927억 원(YoY +58.6%)으로 급증한다. 테라파워 SMR 및 차세대 친환경선 기술을 보유한 지주사임에도 2026(E) 주가는 PER 6.09배·PBR 1.53배로 핵심 자회사 HD현대중공업(PER 14.99배, PBR 4.18배) 대비 PER은 59.4%, PBR은 63.4% 할인된 배수에 거래되고 있다.</t>
        </is>
      </c>
      <c r="P12" s="61" t="inlineStr">
        <is>
          <t>DART 사업보고서        FY22-25(연결), FnGuide 2026년 9월 15일 기준</t>
        </is>
      </c>
      <c r="Q12" s="61" t="inlineStr">
        <is>
          <t>Top1</t>
        </is>
      </c>
    </row>
    <row r="13" ht="72.65000000000001" customHeight="1">
      <c r="A13" s="62" t="inlineStr">
        <is>
          <t>에너지 자원개발</t>
        </is>
      </c>
      <c r="B13" s="51" t="inlineStr">
        <is>
          <t>삼성중공업</t>
        </is>
      </c>
      <c r="C13" s="51" t="inlineStr">
        <is>
          <t>010140</t>
        </is>
      </c>
      <c r="D13" s="52" t="n">
        <v>20700</v>
      </c>
      <c r="E13" s="222" t="n">
        <v>18.216</v>
      </c>
      <c r="F13" s="54" t="n">
        <v>0.003420141228479796</v>
      </c>
      <c r="G13" s="223" t="n">
        <v>0.004382899591830724</v>
      </c>
      <c r="H13" s="51" t="inlineStr">
        <is>
          <t>가능</t>
        </is>
      </c>
      <c r="I13" s="63" t="n">
        <v>0.215</v>
      </c>
      <c r="J13" s="63" t="n">
        <v>0.081</v>
      </c>
      <c r="K13" s="63" t="n">
        <v>0.131</v>
      </c>
      <c r="L13" s="64" t="inlineStr">
        <is>
          <t>33.56/3.28</t>
        </is>
      </c>
      <c r="M13" s="65" t="inlineStr">
        <is>
          <t xml:space="preserve">고선가 LNG운반선 — 상선 집중 /         해양 E&amp;P FLNG 및 부유식 해상원전 SMR(해양 15~20%) </t>
        </is>
      </c>
      <c r="N13" s="65" t="inlineStr">
        <is>
          <t>매출 상선 83.2% · 해양부문 16.8%</t>
        </is>
      </c>
      <c r="O13" s="65" t="inlineStr">
        <is>
          <t>2026(E) 영업이익 전망치가 3개월 전 대비 -9.2% 하향되었고, 2025(A) PER 33.56배에서 2026(E) PER 19.86배로 낮아짐에도 한화오션(2026E PER 12.90배, PBR 3.08배) 대비 PER은 54.0%, PBR(4.28배 기준)은 39.0% 높은 멀티플에 거래되고 있다.</t>
        </is>
      </c>
      <c r="P13" s="61" t="inlineStr">
        <is>
          <t>DART 사업보고서        FY22-25(연결), FnGuide 2026년 9월 15일 기준</t>
        </is>
      </c>
      <c r="Q13" s="66" t="inlineStr">
        <is>
          <t>탈락</t>
        </is>
      </c>
    </row>
    <row r="14" ht="90.8" customHeight="1">
      <c r="A14" s="57" t="inlineStr">
        <is>
          <t>해양 IT/ 탄소중립</t>
        </is>
      </c>
      <c r="B14" s="51" t="inlineStr">
        <is>
          <t>HD현대마린솔루션</t>
        </is>
      </c>
      <c r="C14" s="51" t="inlineStr">
        <is>
          <t>443060</t>
        </is>
      </c>
      <c r="D14" s="52" t="n">
        <v>232000</v>
      </c>
      <c r="E14" s="222" t="n">
        <v>10.401363</v>
      </c>
      <c r="F14" s="54" t="n">
        <v>0.001952905710841255</v>
      </c>
      <c r="G14" s="223" t="n">
        <v>0.04912235291327189</v>
      </c>
      <c r="H14" s="51" t="inlineStr">
        <is>
          <t>가능</t>
        </is>
      </c>
      <c r="I14" s="56" t="n">
        <v>0.141</v>
      </c>
      <c r="J14" s="56" t="n">
        <v>0.1766</v>
      </c>
      <c r="K14" s="56" t="n">
        <v>0.3227</v>
      </c>
      <c r="L14" s="57" t="inlineStr">
        <is>
          <t>40.91/13.37</t>
        </is>
      </c>
      <c r="M14" s="58" t="inlineStr">
        <is>
          <t>선박 애프터마켓(AM) 독점 유통 — 그룹선박 순정부품 / 해양 디지털 솔루션 및 ESG 친환경 개조(매출 20%)</t>
        </is>
      </c>
      <c r="N14" s="58" t="inlineStr">
        <is>
          <t>매출 AM서비스 44.2% · 벙커링 36.1% ·            친환경개조 15.8% · SDV(디지털) 3.9%</t>
        </is>
      </c>
      <c r="O14" s="58" t="inlineStr">
        <is>
          <t>국제해사기구(IMO) 탄소 규제에 따른 친환경 개조 수요로 ROE 38.3%의 높은 마진을 유지한다. 그러나 상장 이후 대주주 및 재무적 투자자(FI)의 보호예수 해제 오버행 이슈가 상존하며, 2026(E) 주가는 PER 31.44배·PBR 10.97배로 업종 평균 PER(20.67배) 대비 52.1%, 대형 조선 3사 평균 PBR(3.58배) 대비 206.4% 높은 배수에 거래되고 있다.</t>
        </is>
      </c>
      <c r="P14" s="61" t="inlineStr">
        <is>
          <t>DART 사업보고서        FY22-25(연결), FnGuide 2026년 9월 15일 기준</t>
        </is>
      </c>
      <c r="Q14" s="61" t="inlineStr">
        <is>
          <t>탈락</t>
        </is>
      </c>
    </row>
    <row r="15" ht="86.40000000000001" customHeight="1">
      <c r="A15" s="62" t="inlineStr">
        <is>
          <t>전력기기</t>
        </is>
      </c>
      <c r="B15" s="51" t="inlineStr">
        <is>
          <t>한화엔진</t>
        </is>
      </c>
      <c r="C15" s="51" t="inlineStr">
        <is>
          <t>082740</t>
        </is>
      </c>
      <c r="D15" s="52" t="n">
        <v>47800</v>
      </c>
      <c r="E15" s="222" t="n">
        <v>3.999936</v>
      </c>
      <c r="F15" s="54" t="n">
        <v>0.0007489112312443477</v>
      </c>
      <c r="G15" s="223" t="n">
        <v>0.0101208985743724</v>
      </c>
      <c r="H15" s="51" t="inlineStr">
        <is>
          <t>가능</t>
        </is>
      </c>
      <c r="I15" s="63" t="n">
        <v>0.215</v>
      </c>
      <c r="J15" s="63" t="n">
        <v>0.0949</v>
      </c>
      <c r="K15" s="63" t="n">
        <v>0.3124</v>
      </c>
      <c r="L15" s="64" t="inlineStr">
        <is>
          <t>24.64/7.7</t>
        </is>
      </c>
      <c r="M15" s="65" t="inlineStr">
        <is>
          <t>대형 2행정 선박 저속엔진 — 친환경 이중연료(DF) 구동계 / 원자력 비상발전 및 육상 내연발전(매출 5~10%)</t>
        </is>
      </c>
      <c r="N15" s="59" t="inlineStr">
        <is>
          <t>매출 선박엔진 83.4% · 엔진부품/AS 12.1% ·      디젤발전(DPP) 4.5%</t>
        </is>
      </c>
      <c r="O15" s="65" t="inlineStr">
        <is>
          <t>한화오션 캡티브 물량 확보와 친환경 메탄올·암모니아 이중연료(DF) 엔진 수주 폭증으로 2026(E) 영업이익이 73.6% 증가한다. 다만 주가가 선반영되며 2026(E) PBR 5.70배·PER 22.3배까지 치솟아 경쟁사 HD현대마린엔진(PER 13.78배, PBR 3.65배) 대비 PER은 62.0%, PBR은 56.2% 높은 배수에 거래되고 있다.</t>
        </is>
      </c>
      <c r="P15" s="61" t="inlineStr">
        <is>
          <t>DART 사업보고서        FY22-25(연결), FnGuide 2026년 9월 15일 기준</t>
        </is>
      </c>
      <c r="Q15" s="66" t="inlineStr">
        <is>
          <t>탈락</t>
        </is>
      </c>
    </row>
    <row r="16" ht="105.65" customHeight="1">
      <c r="A16" s="50" t="inlineStr">
        <is>
          <t>에너지 물류</t>
        </is>
      </c>
      <c r="B16" s="51" t="inlineStr">
        <is>
          <t>대한조선</t>
        </is>
      </c>
      <c r="C16" s="51" t="inlineStr">
        <is>
          <t>439260</t>
        </is>
      </c>
      <c r="D16" s="52" t="n">
        <v>46000</v>
      </c>
      <c r="E16" s="222" t="n">
        <v>1.752082</v>
      </c>
      <c r="F16" s="54" t="n">
        <v>0.0003289617854565952</v>
      </c>
      <c r="G16" s="223" t="n">
        <v>0.009739776870734943</v>
      </c>
      <c r="H16" s="51" t="inlineStr">
        <is>
          <t>가능</t>
        </is>
      </c>
      <c r="I16" s="56" t="n">
        <v>0.21</v>
      </c>
      <c r="J16" s="56" t="n">
        <v>0.2395</v>
      </c>
      <c r="K16" s="56" t="n">
        <v>0.2277</v>
      </c>
      <c r="L16" s="57" t="inlineStr">
        <is>
          <t>6.41/1.65</t>
        </is>
      </c>
      <c r="M16" s="58" t="inlineStr">
        <is>
          <t xml:space="preserve">수에즈·아프라막스급 중형 탱커 — 단일 선종 시리즈 반복 건조 / 글로벌 원유·석유제품 해상운송 인프라(순수 상선 100%) </t>
        </is>
      </c>
      <c r="N16" s="59" t="inlineStr">
        <is>
          <t>매출 원유운반선·석유제품선 100%</t>
        </is>
      </c>
      <c r="O16" s="60" t="inlineStr">
        <is>
          <t>러시아 제재 등으로 탱커 선가가 고공행진하는 가운데, 아프라막스·수에즈막스 시리즈선 반복 건조로 2026(E) OPM 27.5%라는 압도적 수익성을 낸다. 상장 이후 노사 분규 없이 도크 3년 치가 풀가동 중이며, 2026(E) ROE 25.0% 대비 PER 5.90배·PBR 1.33배로 3개 종목 중 최저 PER·PBR을 기록하고 있다.</t>
        </is>
      </c>
      <c r="P16" s="61" t="inlineStr">
        <is>
          <t>DART 사업보고서        FY22-25(연결), FnGuide 2026년 9월 15일 기준</t>
        </is>
      </c>
      <c r="Q16" s="61" t="inlineStr">
        <is>
          <t>Top3</t>
        </is>
      </c>
    </row>
    <row r="17" ht="72.65000000000001" customHeight="1">
      <c r="A17" s="62" t="inlineStr">
        <is>
          <t>신재생에너지</t>
        </is>
      </c>
      <c r="B17" s="51" t="inlineStr">
        <is>
          <t>LS마린솔루션</t>
        </is>
      </c>
      <c r="C17" s="51" t="inlineStr">
        <is>
          <t>060370</t>
        </is>
      </c>
      <c r="D17" s="52" t="n">
        <v>32450</v>
      </c>
      <c r="E17" s="222" t="n">
        <v>1.695151</v>
      </c>
      <c r="F17" s="54" t="n">
        <v>0.0003182727175888644</v>
      </c>
      <c r="G17" s="223" t="n">
        <v>0.006870777379464107</v>
      </c>
      <c r="H17" s="51" t="inlineStr">
        <is>
          <t>가능</t>
        </is>
      </c>
      <c r="I17" s="63" t="n">
        <v>0.787</v>
      </c>
      <c r="J17" s="63" t="n">
        <v>0.0287</v>
      </c>
      <c r="K17" s="63" t="n">
        <v>0.0133</v>
      </c>
      <c r="L17" s="64" t="inlineStr">
        <is>
          <t>173.01/2.76</t>
        </is>
      </c>
      <c r="M17" s="65" t="inlineStr">
        <is>
          <t>해저 케이블 포설·시공 — LS전선 턴키 전력망 인프라 / 해상풍력 송전망 및 AI 전력 슈퍼그리드(매출 75%)</t>
        </is>
      </c>
      <c r="N17" s="59" t="inlineStr">
        <is>
          <t>매출 해저전력·해상풍력 시공 74.8% ·                통신선 유지보수 25.2%</t>
        </is>
      </c>
      <c r="O17" s="65" t="inlineStr">
        <is>
          <t>대형 포설선(GL2030) 취득과 서해안 해상풍력 공동 접속망 수주로 외형은 연 28.2% 커진다. 하지만 막대한 선박 감가상각비로 2026(E) ROE가 3.75%로 13개사 중 가장 낮음에도, 주가는 PER 73.80배·PBR 2.64배로 업종 평균 PER(22.87배) 대비 222.7% 높은 배수에 거래되고 있다.</t>
        </is>
      </c>
      <c r="P17" s="61" t="inlineStr">
        <is>
          <t>DART 사업보고서        FY22-25(연결), FnGuide 2026년 9월 15일 기준</t>
        </is>
      </c>
      <c r="Q17" s="66" t="inlineStr">
        <is>
          <t>탈락</t>
        </is>
      </c>
    </row>
    <row r="18" ht="96.59999999999999" customHeight="1">
      <c r="A18" s="50" t="inlineStr">
        <is>
          <t>산업기계</t>
        </is>
      </c>
      <c r="B18" s="51" t="inlineStr">
        <is>
          <t>HD현대마린엔진</t>
        </is>
      </c>
      <c r="C18" s="51" t="inlineStr">
        <is>
          <t>071970</t>
        </is>
      </c>
      <c r="D18" s="52" t="n">
        <v>49750</v>
      </c>
      <c r="E18" s="222" t="n">
        <v>1.687594</v>
      </c>
      <c r="F18" s="54" t="n">
        <v>0.0003168538546516871</v>
      </c>
      <c r="G18" s="223" t="n">
        <v>0.01053378041997964</v>
      </c>
      <c r="H18" s="51" t="inlineStr">
        <is>
          <t>가능</t>
        </is>
      </c>
      <c r="I18" s="56" t="n">
        <v>0.314</v>
      </c>
      <c r="J18" s="56" t="n">
        <v>0.1887</v>
      </c>
      <c r="K18" s="56" t="n">
        <v>0.3377</v>
      </c>
      <c r="L18" s="57" t="inlineStr">
        <is>
          <t>10.79/3.64</t>
        </is>
      </c>
      <c r="M18" s="58" t="inlineStr">
        <is>
          <t>중소형 선박 엔진 — 현대 조선 계열사 캡티브 외주 공급 / 엔진 핵심부품 터보차저(과급기) 국산화</t>
        </is>
      </c>
      <c r="N18" s="59" t="inlineStr">
        <is>
          <t>매출 선박엔진 67.5% · 엔진부품 24.3% ·           산업플랜트 8.2%</t>
        </is>
      </c>
      <c r="O18" s="58" t="inlineStr">
        <is>
          <t>HD현대 편입 후 창원 공장 리모델링을 마치고 그룹사 중소형 선박 엔진 물량을 독점 배정받아 2026(E) 영업이익 1,550억 원(YoY +104.2%)이 전망된다. 2026(E) 주가는 PER 13.78배·PBR 3.65배로 한화엔진(PER 22.33배, PBR 5.70배) 대비 영업이익 증가율은 30.6%p 높지만, PER은 38.3%, PBR은 36.0% 할인된 배수에 거래되고 있다.</t>
        </is>
      </c>
      <c r="P18" s="61" t="inlineStr">
        <is>
          <t>DART 사업보고서        FY22-25(연결), FnGuide 2026년 9월 15일 기준</t>
        </is>
      </c>
      <c r="Q18" s="61" t="inlineStr">
        <is>
          <t>보류</t>
        </is>
      </c>
    </row>
    <row r="19" ht="102.7" customHeight="1">
      <c r="A19" s="62" t="inlineStr">
        <is>
          <t>건설&amp;토목</t>
        </is>
      </c>
      <c r="B19" s="51" t="inlineStr">
        <is>
          <t>HJ중공업</t>
        </is>
      </c>
      <c r="C19" s="51" t="inlineStr">
        <is>
          <t>097230</t>
        </is>
      </c>
      <c r="D19" s="52" t="n">
        <v>15170</v>
      </c>
      <c r="E19" s="222" t="n">
        <v>1.36978</v>
      </c>
      <c r="F19" s="54" t="n">
        <v>0.0002571827542790434</v>
      </c>
      <c r="G19" s="223" t="n">
        <v>0.003212009024544545</v>
      </c>
      <c r="H19" s="51" t="inlineStr">
        <is>
          <t>가능</t>
        </is>
      </c>
      <c r="I19" s="63" t="n">
        <v>0.038</v>
      </c>
      <c r="J19" s="63" t="n">
        <v>0.0335</v>
      </c>
      <c r="K19" s="63" t="n">
        <v>0.07679999999999999</v>
      </c>
      <c r="L19" s="64" t="inlineStr">
        <is>
          <t>25.58/2.09</t>
        </is>
      </c>
      <c r="M19" s="65" t="inlineStr">
        <is>
          <t>해군 고속상륙정(솔개)·유도탄고속함 — 연안 방위산업 / 주택 브랜드 ‘해모로’ 및 항만·철도 토목(매출 55%)</t>
        </is>
      </c>
      <c r="N19" s="59" t="inlineStr">
        <is>
          <t>매출 건설부문 54.1% · 조선(특수선)부문 45.9%</t>
        </is>
      </c>
      <c r="O19" s="60" t="inlineStr">
        <is>
          <t>해군 고속상륙정(LSF-II) 등 특수선 추가 계약으로 조선 부문 수주는 견조하며 2026(E) 영업이익 2,180억 원으로 턴어라운드가 기대된다. 그러나 매출의 54%를 차지하는 주택 브랜드(해모로) 및 토목 공사비 원가 상승 리스크가 해소되지 않아 확인 후 접근이 안전하다.</t>
        </is>
      </c>
      <c r="P19" s="61" t="inlineStr">
        <is>
          <t>DART 사업보고서        FY22-25(연결), FnGuide 2026년 9월 15일 기준</t>
        </is>
      </c>
      <c r="Q19" s="66" t="inlineStr">
        <is>
          <t>탈락</t>
        </is>
      </c>
    </row>
    <row r="20" ht="72.65000000000001" customHeight="1">
      <c r="A20" s="50" t="inlineStr">
        <is>
          <t>항공우주</t>
        </is>
      </c>
      <c r="B20" s="51" t="inlineStr">
        <is>
          <t>한국카본</t>
        </is>
      </c>
      <c r="C20" s="51" t="inlineStr">
        <is>
          <t>017960</t>
        </is>
      </c>
      <c r="D20" s="52" t="n">
        <v>21150</v>
      </c>
      <c r="E20" s="222" t="n">
        <v>1.092958</v>
      </c>
      <c r="F20" s="54" t="n">
        <v>0.0002052080981992106</v>
      </c>
      <c r="G20" s="223" t="n">
        <v>0.004478180017740088</v>
      </c>
      <c r="H20" s="51" t="inlineStr">
        <is>
          <t>가능</t>
        </is>
      </c>
      <c r="I20" s="56" t="n">
        <v>0.3501</v>
      </c>
      <c r="J20" s="56" t="n">
        <v>0.1441</v>
      </c>
      <c r="K20" s="56" t="n">
        <v>0.1754</v>
      </c>
      <c r="L20" s="57" t="inlineStr">
        <is>
          <t>10.71/1.82</t>
        </is>
      </c>
      <c r="M20" s="58" t="inlineStr">
        <is>
          <t>LNG 화물창 극저온 단열판넬 — 보냉재 시장 50:50 과점 / 항공우주 내외장재·방산 탄소섬유 복합소재(매출 15%)</t>
        </is>
      </c>
      <c r="N20" s="59" t="inlineStr">
        <is>
          <t>매출 조선(보냉재) 82.3% ·                              복합소재(항공/산업) 17.7%</t>
        </is>
      </c>
      <c r="O20" s="58" t="inlineStr">
        <is>
          <t>카타르 2차 및 모잠비크 LNG선 보냉재 공급 계약이 본격화되며 밀양 공장이 100% 풀가동 중이다. 납기 지연이나 노사 분규 리스크가 없으며, 2026(E) 영업이익 1,832억 원(OPM 19%) 급증에도 PER 9.16배·PBR 1.57배로 업종 평균 PER(20.67배) 대비 55.7% 낮고 과거 3개년 PBR 밴드 하단에 위치한다.</t>
        </is>
      </c>
      <c r="P20" s="61" t="inlineStr">
        <is>
          <t>DART 사업보고서        FY22-25(연결), FnGuide 2026년 9월 15일 기준</t>
        </is>
      </c>
      <c r="Q20" s="61" t="inlineStr">
        <is>
          <t>Top2</t>
        </is>
      </c>
    </row>
    <row r="21" ht="94.84999999999999" customHeight="1">
      <c r="A21" s="62" t="inlineStr">
        <is>
          <t>신재생에너지</t>
        </is>
      </c>
      <c r="B21" s="51" t="inlineStr">
        <is>
          <t>SK오션플랜트</t>
        </is>
      </c>
      <c r="C21" s="51" t="inlineStr">
        <is>
          <t>100090</t>
        </is>
      </c>
      <c r="D21" s="52" t="n">
        <v>12150</v>
      </c>
      <c r="E21" s="222" t="n">
        <v>0.766202</v>
      </c>
      <c r="F21" s="54" t="n">
        <v>0.0001425263497919449</v>
      </c>
      <c r="G21" s="223" t="n">
        <v>0.002572571499552817</v>
      </c>
      <c r="H21" s="51" t="inlineStr">
        <is>
          <t>가능</t>
        </is>
      </c>
      <c r="I21" s="63" t="n">
        <v>0.117</v>
      </c>
      <c r="J21" s="63" t="n">
        <v>0.0616</v>
      </c>
      <c r="K21" s="63" t="n">
        <v>0.0461</v>
      </c>
      <c r="L21" s="64" t="inlineStr">
        <is>
          <t>19.07/0.91</t>
        </is>
      </c>
      <c r="M21" s="65" t="inlineStr">
        <is>
          <t>해상풍력 하부구조물(자켓) — 아시아 1위 플랜트 / 해경 경비함·해군 호위함 방위산업(특수선 15~20%)</t>
        </is>
      </c>
      <c r="N21" s="65" t="inlineStr">
        <is>
          <t>매출 해상풍력 56.4% · 특수선(방산) 18.2% ·      후육강관/플랜트 25.4%</t>
        </is>
      </c>
      <c r="O21" s="65" t="inlineStr">
        <is>
          <t>대만 해상풍력 수주 낭보에도 불구하고 국내 해상풍력 인허가 지연과 고성 신야드 증설 CAPEX 부담으로 2026(E) 매출(-33.1%)과 영업이익(-3.6%)이 역성장한다. 1년 전 대비 컨센서스가 40%가량 하향되었고 ROE도 4.43%로 낮아져, PBR은 0.88배로 낮으나 PER은 20.28배로 대형 조선 3사 평균 PER(15.92배) 대비 27.4% 높은 배수에 거래되고 있다.</t>
        </is>
      </c>
      <c r="P21" s="61" t="inlineStr">
        <is>
          <t>DART 사업보고서        FY22-25(연결), FnGuide 2026년 9월 15일 기준</t>
        </is>
      </c>
      <c r="Q21" s="66" t="inlineStr">
        <is>
          <t>탈락</t>
        </is>
      </c>
    </row>
    <row r="22" ht="86.40000000000001" customHeight="1">
      <c r="A22" s="50" t="inlineStr">
        <is>
          <t>신재생에너지</t>
        </is>
      </c>
      <c r="B22" s="51" t="inlineStr">
        <is>
          <t>세진중공업</t>
        </is>
      </c>
      <c r="C22" s="51" t="inlineStr">
        <is>
          <t>075580</t>
        </is>
      </c>
      <c r="D22" s="52" t="n">
        <v>10110</v>
      </c>
      <c r="E22" s="222" t="n">
        <v>0.574748</v>
      </c>
      <c r="F22" s="54" t="n">
        <v>0.0001079116892175179</v>
      </c>
      <c r="G22" s="223" t="n">
        <v>0.002140633568763702</v>
      </c>
      <c r="H22" s="51" t="inlineStr">
        <is>
          <t>가능</t>
        </is>
      </c>
      <c r="I22" s="56" t="n">
        <v>-0.006</v>
      </c>
      <c r="J22" s="56" t="n">
        <v>0.1822</v>
      </c>
      <c r="K22" s="56" t="n">
        <v>0.1998</v>
      </c>
      <c r="L22" s="57" t="inlineStr">
        <is>
          <t>11.62/2.58</t>
        </is>
      </c>
      <c r="M22" s="58" t="inlineStr">
        <is>
          <t>선원 거주구(Deck House) · 독립형 가스탱크 — 현대 야드 독점 외주 / 해상풍력 해상변전소(OSS) 상부구조물</t>
        </is>
      </c>
      <c r="N22" s="58" t="inlineStr">
        <is>
          <t>매출 선박구성부분품(탱크/데크) 95.8% ·           해상플랜트/변전소 4.2%</t>
        </is>
      </c>
      <c r="O22" s="58" t="inlineStr">
        <is>
          <t>HD현대 울산 야드 전속 데크하우스 독점권을 쥐고 고마진 독립형 가스탱크 위주로 선별 수주하며 2026(E) ROE 25.9%를 찍는다. 외형 성장은 둔화됐으나 무쟁의 타결 등 노사 관계가 안정적이고 PER 9.19배에 배당수익률 2.17%를 줘 배당 방어주로 적합하다.</t>
        </is>
      </c>
      <c r="P22" s="61" t="inlineStr">
        <is>
          <t>DART 사업보고서        FY22-25(연결), FnGuide 2026년 9월 15일 기준</t>
        </is>
      </c>
      <c r="Q22" s="61" t="inlineStr">
        <is>
          <t>보류</t>
        </is>
      </c>
    </row>
    <row r="23" ht="18.8" customHeight="1">
      <c r="A23" s="67" t="n"/>
      <c r="B23" s="68" t="n"/>
      <c r="C23" s="68" t="n"/>
      <c r="D23" s="68" t="n"/>
      <c r="E23" s="68" t="n"/>
      <c r="F23" s="68" t="n"/>
      <c r="G23" s="68" t="n"/>
      <c r="H23" s="68" t="n"/>
      <c r="I23" s="68" t="n"/>
      <c r="J23" s="68" t="n"/>
      <c r="K23" s="68" t="n"/>
      <c r="L23" s="68" t="n"/>
      <c r="M23" s="68" t="n"/>
      <c r="N23" s="68" t="n"/>
      <c r="O23" s="68" t="n"/>
      <c r="P23" s="68" t="n"/>
      <c r="Q23" s="69" t="n"/>
    </row>
    <row r="24" ht="22.1" customHeight="1">
      <c r="A24" s="70" t="inlineStr">
        <is>
          <t>선정 결과</t>
        </is>
      </c>
      <c r="B24" s="71" t="n"/>
      <c r="C24" s="71" t="n"/>
      <c r="D24" s="71" t="n"/>
      <c r="E24" s="71" t="n"/>
      <c r="F24" s="71" t="n"/>
      <c r="G24" s="71" t="n"/>
      <c r="H24" s="71" t="n"/>
      <c r="I24" s="71" t="n"/>
      <c r="J24" s="71" t="n"/>
      <c r="K24" s="71" t="n"/>
      <c r="L24" s="71" t="n"/>
      <c r="M24" s="71" t="n"/>
      <c r="N24" s="71" t="n"/>
      <c r="O24" s="71" t="n"/>
      <c r="P24" s="71" t="n"/>
      <c r="Q24" s="72" t="n"/>
    </row>
    <row r="25" ht="47" customHeight="1">
      <c r="A25" s="73" t="inlineStr">
        <is>
          <t>Top 1</t>
        </is>
      </c>
      <c r="B25" s="74" t="inlineStr">
        <is>
          <t>HD한국조선해양</t>
        </is>
      </c>
      <c r="C25" s="75" t="inlineStr">
        <is>
          <t>026(E) 영업이익 전망치가 6조 1,927억 원으로 1년 전(4조 9,149억 원) 대비 26.0% 상향되었음. 2026(E) ROE가 27.2%에 달함에도 주가는 PER 6.09배·PBR 1.53배로 핵심 상장 자회사인 HD현대중공업(PER 14.99배, PBR 4.18배) 대비 PER은 59.4%, PBR은 63.4% 할인된 배수에 거래되고 있음.</t>
        </is>
      </c>
      <c r="D25" s="76" t="n"/>
      <c r="E25" s="76" t="n"/>
      <c r="F25" s="76" t="n"/>
      <c r="G25" s="76" t="n"/>
      <c r="H25" s="76" t="n"/>
      <c r="I25" s="76" t="n"/>
      <c r="J25" s="76" t="n"/>
      <c r="K25" s="76" t="n"/>
      <c r="L25" s="76" t="n"/>
      <c r="M25" s="76" t="n"/>
      <c r="N25" s="76" t="n"/>
      <c r="O25" s="76" t="n"/>
      <c r="P25" s="76" t="n"/>
      <c r="Q25" s="77" t="n"/>
    </row>
    <row r="26" ht="47" customHeight="1">
      <c r="A26" s="73" t="inlineStr">
        <is>
          <t>Top 2</t>
        </is>
      </c>
      <c r="B26" s="74" t="inlineStr">
        <is>
          <t>한국카본</t>
        </is>
      </c>
      <c r="C26" s="75" t="inlineStr">
        <is>
          <t>조선 3사의 LNG선 건조 본격화로 2026(E) 영업이익이 1,832억 원으로 1년 전 전망치(1,293억 원) 대비 무려 41.7% 급증. 연간 ROE 18.7%의 질적 체질 개선에도 불구하고 12M Fwd PER 9.16배·PBR 1.57배에 머물러 있어 컨센서스 폭증에 따른 리레이팅 여력이 가장 큼.</t>
        </is>
      </c>
      <c r="D26" s="76" t="n"/>
      <c r="E26" s="76" t="n"/>
      <c r="F26" s="76" t="n"/>
      <c r="G26" s="76" t="n"/>
      <c r="H26" s="76" t="n"/>
      <c r="I26" s="76" t="n"/>
      <c r="J26" s="76" t="n"/>
      <c r="K26" s="76" t="n"/>
      <c r="L26" s="76" t="n"/>
      <c r="M26" s="76" t="n"/>
      <c r="N26" s="76" t="n"/>
      <c r="O26" s="76" t="n"/>
      <c r="P26" s="76" t="n"/>
      <c r="Q26" s="77" t="n"/>
    </row>
    <row r="27" ht="47" customHeight="1">
      <c r="A27" s="73" t="inlineStr">
        <is>
          <t>Top 3</t>
        </is>
      </c>
      <c r="B27" s="74" t="inlineStr">
        <is>
          <t>대한조선</t>
        </is>
      </c>
      <c r="C27" s="75" t="inlineStr">
        <is>
          <t>중형 탱커 반복 건조 효과로 2026(E) 영업이익이 3,647억 원으로 1년 전 전망치(2,982억 원) 대비 22.3% 상향되며 OPM 27.5%라는 압도적 수익성을 확정. 2026(E) ROE 25.0%라는 최상위 자본 효율성 대비 주가는 PER 5.90배·PBR 1.33배로 13개 종목 중 최저 PER이자 업종 평균 PER(20.67배) 대비 71.5% 낮은 배수에 거래되고 있다.</t>
        </is>
      </c>
      <c r="D27" s="76" t="n"/>
      <c r="E27" s="76" t="n"/>
      <c r="F27" s="76" t="n"/>
      <c r="G27" s="76" t="n"/>
      <c r="H27" s="76" t="n"/>
      <c r="I27" s="76" t="n"/>
      <c r="J27" s="76" t="n"/>
      <c r="K27" s="76" t="n"/>
      <c r="L27" s="76" t="n"/>
      <c r="M27" s="76" t="n"/>
      <c r="N27" s="76" t="n"/>
      <c r="O27" s="76" t="n"/>
      <c r="P27" s="76" t="n"/>
      <c r="Q27" s="77" t="n"/>
    </row>
    <row r="28" ht="47" customHeight="1">
      <c r="A28" s="73" t="inlineStr">
        <is>
          <t>탈락 1</t>
        </is>
      </c>
      <c r="B28" s="74" t="inlineStr">
        <is>
          <t>SK오션플랜트</t>
        </is>
      </c>
      <c r="C28" s="75" t="inlineStr">
        <is>
          <t>2026(E) 매출액(6,458억 원)과 영업이익(574억 원)이 전년 대비 각각 -33.1%, -3.6% 역성장하며, 1년 전 전망치(매출 1조 958억 원, 영업이익 920억 원) 대비 컨센서스가 각각 -41.0%, -37.6% 폭락했음. 2026(E) ROE 역시 4.43%로 주저앉아 있음.</t>
        </is>
      </c>
      <c r="D28" s="76" t="n"/>
      <c r="E28" s="76" t="n"/>
      <c r="F28" s="76" t="n"/>
      <c r="G28" s="76" t="n"/>
      <c r="H28" s="76" t="n"/>
      <c r="I28" s="76" t="n"/>
      <c r="J28" s="76" t="n"/>
      <c r="K28" s="76" t="n"/>
      <c r="L28" s="76" t="n"/>
      <c r="M28" s="76" t="n"/>
      <c r="N28" s="76" t="n"/>
      <c r="O28" s="76" t="n"/>
      <c r="P28" s="76" t="n"/>
      <c r="Q28" s="77" t="n"/>
    </row>
    <row r="29" ht="47" customHeight="1">
      <c r="A29" s="73" t="inlineStr">
        <is>
          <t>탈락 2</t>
        </is>
      </c>
      <c r="B29" s="74" t="inlineStr">
        <is>
          <t>한화엔진</t>
        </is>
      </c>
      <c r="C29" s="75" t="inlineStr">
        <is>
          <t>2026(E) 영업이익 전망치가 3개월 전 2,442억 원에서 2,259억 원으로 -7.5% 하향 조정된 반면, 주가 급등으로 2026(E) PBR 5.70배·PER 22.33배(2025A PBR 7.70배)까지 치솟아 경쟁사인 HD현대마린엔진(PER 13.78배, PBR 3.65배) 대비 PER은 62.0%, PBR은 56.2% 높은 멀티플에 거래되고 있다.</t>
        </is>
      </c>
      <c r="D29" s="76" t="n"/>
      <c r="E29" s="76" t="n"/>
      <c r="F29" s="76" t="n"/>
      <c r="G29" s="76" t="n"/>
      <c r="H29" s="76" t="n"/>
      <c r="I29" s="76" t="n"/>
      <c r="J29" s="76" t="n"/>
      <c r="K29" s="76" t="n"/>
      <c r="L29" s="76" t="n"/>
      <c r="M29" s="76" t="n"/>
      <c r="N29" s="76" t="n"/>
      <c r="O29" s="76" t="n"/>
      <c r="P29" s="76" t="n"/>
      <c r="Q29" s="77" t="n"/>
    </row>
    <row r="30" ht="47" customHeight="1">
      <c r="A30" s="73" t="inlineStr">
        <is>
          <t>탈락 3</t>
        </is>
      </c>
      <c r="B30" s="74" t="inlineStr">
        <is>
          <t>HD현대마린솔루션</t>
        </is>
      </c>
      <c r="C30" s="75" t="inlineStr">
        <is>
          <t>2026(E) 영업이익 전망치가 1년 전 4,634억 원에서 4,142억 원으로 -10.6% 하향 조정됨. 2026(E) 기준 PBR 10.97배·PER 31.44배(2025A PBR 13.37배)로 수년간의 미래 이익이 극단적으로 선반영되어 있어 밸류에이션 하방 위험이 큼.</t>
        </is>
      </c>
      <c r="D30" s="76" t="n"/>
      <c r="E30" s="76" t="n"/>
      <c r="F30" s="76" t="n"/>
      <c r="G30" s="76" t="n"/>
      <c r="H30" s="76" t="n"/>
      <c r="I30" s="76" t="n"/>
      <c r="J30" s="76" t="n"/>
      <c r="K30" s="76" t="n"/>
      <c r="L30" s="76" t="n"/>
      <c r="M30" s="76" t="n"/>
      <c r="N30" s="76" t="n"/>
      <c r="O30" s="76" t="n"/>
      <c r="P30" s="76" t="n"/>
      <c r="Q30" s="77" t="n"/>
    </row>
    <row r="31" ht="47" customHeight="1">
      <c r="A31" s="73" t="inlineStr">
        <is>
          <t>탈락 4</t>
        </is>
      </c>
      <c r="B31" s="74" t="inlineStr">
        <is>
          <t>LS마린솔루션</t>
        </is>
      </c>
      <c r="C31" s="75" t="inlineStr">
        <is>
          <t>2026(E) 영업이익 전망치(167억 원)가 1년 전(166억 원) 수준에서 멈춰 실적 레벨업이 부재하며, 대규모 포설선 투자 감가상각비 부담으로 2026(E) ROE가 3.75%에 불과함에도 주가는 PER 73.80배·PBR 2.64배로 업종 평균 PER(22.87배) 대비 222.7% 높은 배수에 거래되고 있다.</t>
        </is>
      </c>
      <c r="D31" s="76" t="n"/>
      <c r="E31" s="76" t="n"/>
      <c r="F31" s="76" t="n"/>
      <c r="G31" s="76" t="n"/>
      <c r="H31" s="76" t="n"/>
      <c r="I31" s="76" t="n"/>
      <c r="J31" s="76" t="n"/>
      <c r="K31" s="76" t="n"/>
      <c r="L31" s="76" t="n"/>
      <c r="M31" s="76" t="n"/>
      <c r="N31" s="76" t="n"/>
      <c r="O31" s="76" t="n"/>
      <c r="P31" s="76" t="n"/>
      <c r="Q31" s="77" t="n"/>
    </row>
    <row r="32" ht="47" customHeight="1">
      <c r="A32" s="73" t="inlineStr">
        <is>
          <t>탈락 5</t>
        </is>
      </c>
      <c r="B32" s="74" t="inlineStr">
        <is>
          <t>HJ중공업</t>
        </is>
      </c>
      <c r="C32" s="75" t="inlineStr">
        <is>
          <t>1년 전 기준 2026년 실적 추정 기관 수가 0곳일 정도로 시장 신뢰도가 결여되어 있고, 매출의 54.1%가 건설 부문에 집중되어 있어 2025A OPM 3.35%·ROE 7.68%로 13개 사 중 조선 호황 수혜를 가장 받지 못하는 상황. 연기금이 20000원선 아래에서 매수하고 있지만 지켜봐야함.</t>
        </is>
      </c>
      <c r="D32" s="76" t="n"/>
      <c r="E32" s="76" t="n"/>
      <c r="F32" s="76" t="n"/>
      <c r="G32" s="76" t="n"/>
      <c r="H32" s="76" t="n"/>
      <c r="I32" s="76" t="n"/>
      <c r="J32" s="76" t="n"/>
      <c r="K32" s="76" t="n"/>
      <c r="L32" s="76" t="n"/>
      <c r="M32" s="76" t="n"/>
      <c r="N32" s="76" t="n"/>
      <c r="O32" s="76" t="n"/>
      <c r="P32" s="76" t="n"/>
      <c r="Q32" s="77" t="n"/>
    </row>
    <row r="33" ht="47.6" customHeight="1">
      <c r="A33" s="73" t="inlineStr">
        <is>
          <t>탈락 6</t>
        </is>
      </c>
      <c r="B33" s="74" t="inlineStr">
        <is>
          <t>삼성중공업</t>
        </is>
      </c>
      <c r="C33" s="75" t="inlineStr">
        <is>
          <t>2026(E) 영업이익 전망치가 3개월 전 대비 -9.2% 하향되었고, 2025(A) PER 33.56배에서 2026(E) PER 19.86배로 낮아짐에도 한화오션(2026E PER 12.90배, PBR 3.08배) 대비 PER은 54.0%, PBR(4.28배 기준)은 39.0% 높은 멀티플에 거래되고 있음.</t>
        </is>
      </c>
      <c r="D33" s="76" t="n"/>
      <c r="E33" s="76" t="n"/>
      <c r="F33" s="76" t="n"/>
      <c r="G33" s="76" t="n"/>
      <c r="H33" s="76" t="n"/>
      <c r="I33" s="76" t="n"/>
      <c r="J33" s="76" t="n"/>
      <c r="K33" s="76" t="n"/>
      <c r="L33" s="76" t="n"/>
      <c r="M33" s="76" t="n"/>
      <c r="N33" s="76" t="n"/>
      <c r="O33" s="76" t="n"/>
      <c r="P33" s="76" t="n"/>
      <c r="Q33" s="77" t="n"/>
    </row>
  </sheetData>
  <mergeCells count="16">
    <mergeCell ref="C29:Q29"/>
    <mergeCell ref="C30:Q30"/>
    <mergeCell ref="E4:F4"/>
    <mergeCell ref="C33:Q33"/>
    <mergeCell ref="C25:Q25"/>
    <mergeCell ref="C32:Q32"/>
    <mergeCell ref="B4:C4"/>
    <mergeCell ref="B5:C5"/>
    <mergeCell ref="C28:Q28"/>
    <mergeCell ref="C27:Q27"/>
    <mergeCell ref="E5:F5"/>
    <mergeCell ref="K5:L5"/>
    <mergeCell ref="H5:I5"/>
    <mergeCell ref="C31:Q31"/>
    <mergeCell ref="H4:I4"/>
    <mergeCell ref="C26:Q26"/>
  </mergeCells>
  <dataValidations count="1">
    <dataValidation sqref="Q10:Q22" showDropDown="0" showInputMessage="0" showErrorMessage="0" allowBlank="1" type="list">
      <formula1>"Top1,Top2,Top3,보류,탈락"</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8"/>
  <sheetViews>
    <sheetView showGridLines="0" workbookViewId="0">
      <pane xSplit="2" topLeftCell="C1" activePane="topRight" state="frozen"/>
      <selection pane="topRight" activeCell="A1" sqref="A1"/>
    </sheetView>
  </sheetViews>
  <sheetFormatPr baseColWidth="8" defaultRowHeight="15"/>
  <cols>
    <col width="12" customWidth="1" min="1" max="1"/>
    <col width="16" customWidth="1" min="2" max="2"/>
    <col width="8" customWidth="1" min="3" max="3"/>
    <col width="10" customWidth="1" min="4" max="4"/>
    <col width="11" customWidth="1" min="5" max="5"/>
    <col width="10" customWidth="1" min="6" max="6"/>
    <col width="11" customWidth="1" min="7" max="7"/>
    <col width="10" customWidth="1" min="8" max="8"/>
    <col width="12" customWidth="1" min="9" max="9"/>
    <col width="10" customWidth="1" min="10" max="10"/>
    <col width="9" customWidth="1" min="11" max="11"/>
    <col width="11" customWidth="1" min="12" max="12"/>
    <col width="31" customWidth="1" min="13" max="13"/>
    <col width="25.1640625" customWidth="1" min="14" max="14"/>
    <col width="37.6640625" customWidth="1" min="15" max="15"/>
    <col width="20.6640625" customWidth="1" min="16" max="16"/>
    <col width="9" customWidth="1" min="17" max="17"/>
  </cols>
  <sheetData>
    <row r="1" ht="22" customHeight="1">
      <c r="A1" s="78" t="inlineStr">
        <is>
          <t>기계·건설·로봇</t>
        </is>
      </c>
    </row>
    <row r="2">
      <c r="A2" s="79" t="inlineStr">
        <is>
          <t>ICOK Fund 26-2  ·  담당 산업 스크리닝</t>
        </is>
      </c>
    </row>
    <row r="3" ht="3" customHeight="1">
      <c r="A3" s="80" t="n"/>
      <c r="B3" s="80" t="n"/>
      <c r="C3" s="80" t="n"/>
      <c r="D3" s="80" t="n"/>
      <c r="E3" s="80" t="n"/>
      <c r="F3" s="80" t="n"/>
      <c r="G3" s="80" t="n"/>
      <c r="H3" s="80" t="n"/>
      <c r="I3" s="80" t="n"/>
      <c r="J3" s="80" t="n"/>
      <c r="K3" s="80" t="n"/>
      <c r="L3" s="80" t="n"/>
      <c r="M3" s="80" t="n"/>
      <c r="N3" s="80" t="n"/>
      <c r="O3" s="80" t="n"/>
      <c r="P3" s="80" t="n"/>
      <c r="Q3" s="80" t="n"/>
    </row>
    <row r="4" ht="17" customHeight="1">
      <c r="A4" s="81" t="inlineStr">
        <is>
          <t>팀</t>
        </is>
      </c>
      <c r="B4" s="82" t="inlineStr">
        <is>
          <t>팀 2 · 중후장대·인프라</t>
        </is>
      </c>
      <c r="C4" s="9" t="n"/>
      <c r="D4" s="81" t="inlineStr">
        <is>
          <t>담당자</t>
        </is>
      </c>
      <c r="E4" s="82" t="inlineStr">
        <is>
          <t>김범준</t>
        </is>
      </c>
      <c r="F4" s="9" t="n"/>
      <c r="G4" s="81" t="inlineStr">
        <is>
          <t>제출일</t>
        </is>
      </c>
      <c r="H4" s="82" t="n"/>
      <c r="I4" s="9" t="n"/>
    </row>
    <row r="5" ht="17" customHeight="1">
      <c r="A5" s="81" t="inlineStr">
        <is>
          <t>지수 비중</t>
        </is>
      </c>
      <c r="B5" s="82" t="inlineStr">
        <is>
          <t>2.64%</t>
        </is>
      </c>
      <c r="C5" s="9" t="n"/>
      <c r="D5" s="81" t="inlineStr">
        <is>
          <t>배정액</t>
        </is>
      </c>
      <c r="E5" s="82" t="inlineStr">
        <is>
          <t>738,019원</t>
        </is>
      </c>
      <c r="F5" s="9" t="n"/>
      <c r="G5" s="81" t="inlineStr">
        <is>
          <t>종목 수</t>
        </is>
      </c>
      <c r="H5" s="82" t="inlineStr">
        <is>
          <t>19</t>
        </is>
      </c>
      <c r="I5" s="9" t="n"/>
      <c r="J5" s="81" t="inlineStr">
        <is>
          <t>기준일</t>
        </is>
      </c>
      <c r="K5" s="83" t="n">
        <v>46280</v>
      </c>
      <c r="L5" s="9" t="n"/>
    </row>
    <row r="7">
      <c r="A7" s="79" t="inlineStr">
        <is>
          <t>음영 셀은 기입 완료. 흰색 셀만 작성한다.</t>
        </is>
      </c>
    </row>
    <row r="9" ht="26" customHeight="1">
      <c r="A9" s="84" t="inlineStr">
        <is>
          <t>하위 테마</t>
        </is>
      </c>
      <c r="B9" s="84" t="inlineStr">
        <is>
          <t>기업명</t>
        </is>
      </c>
      <c r="C9" s="84" t="inlineStr">
        <is>
          <t>코드</t>
        </is>
      </c>
      <c r="D9" s="84" t="inlineStr">
        <is>
          <t>주가</t>
        </is>
      </c>
      <c r="E9" s="84" t="inlineStr">
        <is>
          <t>시가총액(조)</t>
        </is>
      </c>
      <c r="F9" s="84" t="inlineStr">
        <is>
          <t>지수 비중</t>
        </is>
      </c>
      <c r="G9" s="84" t="inlineStr">
        <is>
          <t>1주 / 팀예산</t>
        </is>
      </c>
      <c r="H9" s="84" t="inlineStr">
        <is>
          <t>매수 판정</t>
        </is>
      </c>
      <c r="I9" s="84" t="inlineStr">
        <is>
          <t>매출 CAGR(3Y)</t>
        </is>
      </c>
      <c r="J9" s="84" t="inlineStr">
        <is>
          <t>영업이익률</t>
        </is>
      </c>
      <c r="K9" s="84" t="inlineStr">
        <is>
          <t>ROE</t>
        </is>
      </c>
      <c r="L9" s="84" t="inlineStr">
        <is>
          <t>PER / PBR</t>
        </is>
      </c>
      <c r="M9" s="84" t="inlineStr">
        <is>
          <t>주요 제품</t>
        </is>
      </c>
      <c r="N9" s="84" t="inlineStr">
        <is>
          <t>시장 포지셔닝</t>
        </is>
      </c>
      <c r="O9" s="84" t="inlineStr">
        <is>
          <t>투자포인트 / 탈락 사유</t>
        </is>
      </c>
      <c r="P9" s="84" t="inlineStr">
        <is>
          <t>출처 · 기준일</t>
        </is>
      </c>
      <c r="Q9" s="84" t="inlineStr">
        <is>
          <t>판정</t>
        </is>
      </c>
    </row>
    <row r="10" ht="45" customHeight="1">
      <c r="A10" s="85" t="inlineStr">
        <is>
          <t>건축</t>
        </is>
      </c>
      <c r="B10" s="86" t="inlineStr">
        <is>
          <t>삼성물산</t>
        </is>
      </c>
      <c r="C10" s="87" t="inlineStr">
        <is>
          <t>028260</t>
        </is>
      </c>
      <c r="D10" s="88" t="n">
        <v>347000</v>
      </c>
      <c r="E10" s="224" t="n">
        <v>56.272151</v>
      </c>
      <c r="F10" s="90" t="n">
        <v>0.01056536581304022</v>
      </c>
      <c r="G10" s="225" t="n">
        <v>0.07347179509010925</v>
      </c>
      <c r="H10" s="87" t="inlineStr">
        <is>
          <t>가능</t>
        </is>
      </c>
      <c r="I10" s="92" t="n">
        <v>-0.01904531270734988</v>
      </c>
      <c r="J10" s="92" t="n">
        <v>0.08081900793282297</v>
      </c>
      <c r="K10" s="92" t="n">
        <v>0.07827097657010132</v>
      </c>
      <c r="L10" s="93" t="inlineStr">
        <is>
          <t>23.3/1.13</t>
        </is>
      </c>
      <c r="M10" s="93" t="inlineStr">
        <is>
          <t>건설, 주택, 상사, 패션, 리조트</t>
        </is>
      </c>
      <c r="N10" s="93" t="inlineStr">
        <is>
          <t>건설·상사·패션·리조트 복합 포트폴리오의 삼성그룹 계열사, 이재용 최대주주. 26년 2Q 매출 11조 9,951억원(YoY +19.7%), 영업이익 1조 317억원(YoY +37.1%)</t>
        </is>
      </c>
      <c r="O10" s="93" t="inlineStr">
        <is>
          <t>매출 CAGR -1.9%(12위) 대비 영업이익률 8.1%(5위)·ROE 7.8%(4위) 수익성 상위권. 최근 1년 단일판매·공급계약 공시 36건, 최근 계약 변경분만 1조 3,331억원(매출액대비 4.33%). 지수 비중 1.06%로 팀 내 최대</t>
        </is>
      </c>
      <c r="P10" s="93" t="inlineStr">
        <is>
          <t>DART 사업보고서 FY2022-FY2025, 연결재무제표, 26Q2반기보고서 / '26. 09. 15.</t>
        </is>
      </c>
      <c r="Q10" s="93" t="inlineStr">
        <is>
          <t>보류</t>
        </is>
      </c>
    </row>
    <row r="11" ht="45" customHeight="1">
      <c r="A11" s="94" t="inlineStr">
        <is>
          <t>건축</t>
        </is>
      </c>
      <c r="B11" s="86" t="inlineStr">
        <is>
          <t>현대건설</t>
        </is>
      </c>
      <c r="C11" s="87" t="inlineStr">
        <is>
          <t>000720</t>
        </is>
      </c>
      <c r="D11" s="88" t="n">
        <v>128100</v>
      </c>
      <c r="E11" s="224" t="n">
        <v>14.264673</v>
      </c>
      <c r="F11" s="90" t="n">
        <v>0.002678260663048011</v>
      </c>
      <c r="G11" s="225" t="n">
        <v>0.02712316124219883</v>
      </c>
      <c r="H11" s="87" t="inlineStr">
        <is>
          <t>가능</t>
        </is>
      </c>
      <c r="I11" s="95" t="n">
        <v>0.1351035316467313</v>
      </c>
      <c r="J11" s="95" t="n">
        <v>0.02102204712809926</v>
      </c>
      <c r="K11" s="95" t="n">
        <v>0.04514934917382621</v>
      </c>
      <c r="L11" s="96" t="inlineStr">
        <is>
          <t>38.6/1.73</t>
        </is>
      </c>
      <c r="M11" s="96" t="inlineStr">
        <is>
          <t>건축, 주택, 토목, 플랜트</t>
        </is>
      </c>
      <c r="N11" s="96" t="inlineStr">
        <is>
          <t>시공능력 상위, 현대차그룹 계열. 26년 2Q 매출 6조 8,423억원(YoY -11.4%)이나 영업이익 2,618억원(YoY +20.7%)</t>
        </is>
      </c>
      <c r="O11" s="96" t="inlineStr">
        <is>
          <t>매출 CAGR 13.5%(5위)나 영업이익률 2.1%(13위)로 낮음. GTX-C노선 계약금액이 1조 2,263억→1조 5,433억원으로 상향 확정(매출액대비 7.27%, 계열사 대상) — 이익률보다 대형 SOC 수주잔고가 매력 포인트</t>
        </is>
      </c>
      <c r="P11" s="93" t="inlineStr">
        <is>
          <t>DART 사업보고서 FY2022-FY2025, 연결재무제표, 26Q2반기보고서 / '26. 09. 15.</t>
        </is>
      </c>
      <c r="Q11" s="93" t="inlineStr">
        <is>
          <t>보류</t>
        </is>
      </c>
    </row>
    <row r="12" ht="45" customHeight="1">
      <c r="A12" s="85" t="inlineStr">
        <is>
          <t>건축</t>
        </is>
      </c>
      <c r="B12" s="86" t="inlineStr">
        <is>
          <t>삼성E&amp;A</t>
        </is>
      </c>
      <c r="C12" s="87" t="inlineStr">
        <is>
          <t>028050</t>
        </is>
      </c>
      <c r="D12" s="88" t="n">
        <v>50800</v>
      </c>
      <c r="E12" s="224" t="n">
        <v>9.956799999999999</v>
      </c>
      <c r="F12" s="90" t="n">
        <v>0.001869436878772927</v>
      </c>
      <c r="G12" s="225" t="n">
        <v>0.01075610141376815</v>
      </c>
      <c r="H12" s="87" t="inlineStr">
        <is>
          <t>가능</t>
        </is>
      </c>
      <c r="I12" s="92" t="n">
        <v>-0.03522747680448401</v>
      </c>
      <c r="J12" s="92" t="n">
        <v>0.08772833146506739</v>
      </c>
      <c r="K12" s="92" t="n">
        <v>0.136753241858483</v>
      </c>
      <c r="L12" s="93" t="inlineStr">
        <is>
          <t>16.1/2.10</t>
        </is>
      </c>
      <c r="M12" s="93" t="inlineStr">
        <is>
          <t>화공플랜트, 그린솔루션, 산업설비</t>
        </is>
      </c>
      <c r="N12" s="93" t="inlineStr">
        <is>
          <t>화공플랜트·그린솔루션, 삼성SDI 최대주주. 26년 2Q 매출 2조 6,093억원(YoY +19.8%), 영업이익 2,731억원(YoY +51.0%)</t>
        </is>
      </c>
      <c r="O12" s="93" t="inlineStr">
        <is>
          <t>영업이익률 8.8%(2위)·ROE 13.7%(3위) 테마 내 최상위 수익성. 최근 해외(달러·엔화) 플랜트 계약 7,721억원(매출액대비 10.31%) 확정 — 해외 EPC 비중 확인됨. PER 16.1배(5위)</t>
        </is>
      </c>
      <c r="P12" s="93" t="inlineStr">
        <is>
          <t>DART 사업보고서 FY2022-FY2025, 연결재무제표, 26Q2반기보고서 / '26. 09. 15.</t>
        </is>
      </c>
      <c r="Q12" s="93" t="inlineStr">
        <is>
          <t>Top1</t>
        </is>
      </c>
    </row>
    <row r="13" ht="30" customHeight="1">
      <c r="A13" s="94" t="inlineStr">
        <is>
          <t>로봇</t>
        </is>
      </c>
      <c r="B13" s="86" t="inlineStr">
        <is>
          <t>레인보우로보틱스</t>
        </is>
      </c>
      <c r="C13" s="87" t="inlineStr">
        <is>
          <t>277810</t>
        </is>
      </c>
      <c r="D13" s="88" t="n">
        <v>433500</v>
      </c>
      <c r="E13" s="224" t="n">
        <v>8.409838000000001</v>
      </c>
      <c r="F13" s="90" t="n">
        <v>0.001578987355546556</v>
      </c>
      <c r="G13" s="225" t="n">
        <v>0.09178681029268691</v>
      </c>
      <c r="H13" s="87" t="inlineStr">
        <is>
          <t>가능</t>
        </is>
      </c>
      <c r="I13" s="95" t="n">
        <v>0.3583320262347716</v>
      </c>
      <c r="J13" s="95" t="n">
        <v>-0.07268581656463804</v>
      </c>
      <c r="K13" s="95" t="n">
        <v>0.0106216566782599</v>
      </c>
      <c r="L13" s="96" t="inlineStr">
        <is>
          <t>5938.4/62.84</t>
        </is>
      </c>
      <c r="M13" s="96" t="inlineStr">
        <is>
          <t>협동로봇, 인간형 이족보행로봇</t>
        </is>
      </c>
      <c r="N13" s="96" t="inlineStr">
        <is>
          <t>협동로봇·이족보행로봇, 삼성전자 최대주주. 26년 2Q 매출 123억원(YoY +97.9%) 급성장, 영업손실 -20억원 지속</t>
        </is>
      </c>
      <c r="O13" s="96" t="inlineStr">
        <is>
          <t>매출 CAGR 35.8%(2위) 고성장이나 영업이익률 -7.3%(15위) 적자. 2026.7월 신규시설투자 294.7억원(자기자본대비 22.6%) 확정 — 생산능력 확충 중. PBR 62.84배</t>
        </is>
      </c>
      <c r="P13" s="93" t="inlineStr">
        <is>
          <t>DART 사업보고서 FY2022-FY2025, 연결재무제표, 26Q2반기보고서 / '26. 09. 15.</t>
        </is>
      </c>
      <c r="Q13" s="93" t="inlineStr">
        <is>
          <t>탈락</t>
        </is>
      </c>
    </row>
    <row r="14" ht="45" customHeight="1">
      <c r="A14" s="85" t="inlineStr">
        <is>
          <t>건축</t>
        </is>
      </c>
      <c r="B14" s="86" t="inlineStr">
        <is>
          <t>대우건설</t>
        </is>
      </c>
      <c r="C14" s="87" t="inlineStr">
        <is>
          <t>047040</t>
        </is>
      </c>
      <c r="D14" s="88" t="n">
        <v>19130</v>
      </c>
      <c r="E14" s="224" t="n">
        <v>7.860663</v>
      </c>
      <c r="F14" s="90" t="n">
        <v>0.001475877119536982</v>
      </c>
      <c r="G14" s="225" t="n">
        <v>0.004050476772546945</v>
      </c>
      <c r="H14" s="87" t="inlineStr">
        <is>
          <t>가능</t>
        </is>
      </c>
      <c r="I14" s="92" t="n">
        <v>-0.08222369766623816</v>
      </c>
      <c r="J14" s="92" t="n">
        <v>-0.1012376197972526</v>
      </c>
      <c r="K14" s="92" t="n">
        <v>-0.2736450470597001</v>
      </c>
      <c r="L14" s="93" t="inlineStr">
        <is>
          <t>-/2.35</t>
        </is>
      </c>
      <c r="M14" s="93" t="inlineStr">
        <is>
          <t>주택건축, 토목, 플랜트</t>
        </is>
      </c>
      <c r="N14" s="93" t="inlineStr">
        <is>
          <t>중흥그룹 계열. 26년 2Q 매출 2조 435억원(YoY -10.1%), 영업이익 2,322억원(YoY +182.6%)</t>
        </is>
      </c>
      <c r="O14" s="93" t="inlineStr">
        <is>
          <t>매출 CAGR -8.2%·영업이익률 -10.1%·ROE -27.4% 전 지표 하위권이나 상반기 영업이익 YoY +108.9%. 최근 1년 계약공시 53건으로 테마 내 최다, 안동 태화지구 등 수주 지속(2,434억원)</t>
        </is>
      </c>
      <c r="P14" s="93" t="inlineStr">
        <is>
          <t>DART 사업보고서 FY2022-FY2025, 연결재무제표, 26Q2반기보고서 / '26. 09. 15.</t>
        </is>
      </c>
      <c r="Q14" s="93" t="inlineStr">
        <is>
          <t>탈락</t>
        </is>
      </c>
    </row>
    <row r="15" ht="45" customHeight="1">
      <c r="A15" s="94" t="inlineStr">
        <is>
          <t>건설장비</t>
        </is>
      </c>
      <c r="B15" s="97" t="inlineStr">
        <is>
          <t>HD건설기계</t>
        </is>
      </c>
      <c r="C15" s="87" t="inlineStr">
        <is>
          <t>267270</t>
        </is>
      </c>
      <c r="D15" s="88" t="n">
        <v>134500</v>
      </c>
      <c r="E15" s="224" t="n">
        <v>6.388398</v>
      </c>
      <c r="F15" s="90" t="n">
        <v>0.001199452315751969</v>
      </c>
      <c r="G15" s="225" t="n">
        <v>0.02847826063290978</v>
      </c>
      <c r="H15" s="87" t="inlineStr">
        <is>
          <t>가능</t>
        </is>
      </c>
      <c r="I15" s="95" t="n">
        <v>0.02415048259217967</v>
      </c>
      <c r="J15" s="95" t="n">
        <v>0.0452487540015673</v>
      </c>
      <c r="K15" s="95" t="n">
        <v>0.05505151290434076</v>
      </c>
      <c r="L15" s="96" t="inlineStr">
        <is>
          <t>23.6/1.29</t>
        </is>
      </c>
      <c r="M15" s="96" t="inlineStr">
        <is>
          <t>굴삭기, 건설기계, 산업차량(지게차)</t>
        </is>
      </c>
      <c r="N15" s="96" t="inlineStr">
        <is>
          <t>굴삭기 등 건설기계, HD현대 계열. 26년 2Q 매출 2조 4,342억원(YoY +151.5%), 영업이익 YoY +521.5% — HD현대인프라코어 사업통합 효과로 추정</t>
        </is>
      </c>
      <c r="O15" s="96" t="inlineStr">
        <is>
          <t>2025.7.1 HD현대인프라코어 흡수합병 완료(확정) — 상반기 영업이익 YoY +438.1%는 합병 편입 효과. 합병 전후 비교가 불가능해 기저효과 제거 후 재평가 필요</t>
        </is>
      </c>
      <c r="P15" s="93" t="inlineStr">
        <is>
          <t>DART 사업보고서 FY2022-FY2025, 연결재무제표, 26Q2반기보고서 / '26. 09. 15.</t>
        </is>
      </c>
      <c r="Q15" s="93" t="inlineStr">
        <is>
          <t>보류</t>
        </is>
      </c>
    </row>
    <row r="16" ht="45" customHeight="1">
      <c r="A16" s="85" t="inlineStr">
        <is>
          <t>건설장비</t>
        </is>
      </c>
      <c r="B16" s="86" t="inlineStr">
        <is>
          <t>두산밥캣</t>
        </is>
      </c>
      <c r="C16" s="87" t="inlineStr">
        <is>
          <t>241560</t>
        </is>
      </c>
      <c r="D16" s="88" t="n">
        <v>60000</v>
      </c>
      <c r="E16" s="224" t="n">
        <v>5.751364</v>
      </c>
      <c r="F16" s="90" t="n">
        <v>0.001079846131773961</v>
      </c>
      <c r="G16" s="225" t="n">
        <v>0.01270405678791514</v>
      </c>
      <c r="H16" s="87" t="inlineStr">
        <is>
          <t>가능</t>
        </is>
      </c>
      <c r="I16" s="92" t="n">
        <v>-0.09065105143378516</v>
      </c>
      <c r="J16" s="92" t="n">
        <v>0.07804143319929484</v>
      </c>
      <c r="K16" s="92" t="n">
        <v>0.05644903017669267</v>
      </c>
      <c r="L16" s="93" t="inlineStr">
        <is>
          <t>15.1/0.85</t>
        </is>
      </c>
      <c r="M16" s="93" t="inlineStr">
        <is>
          <t>소형 건설기계, 지게차, 이동식 발전기</t>
        </is>
      </c>
      <c r="N16" s="93" t="inlineStr">
        <is>
          <t>두산에너빌리티 자회사, FY23부터 보고통화 USD. 26년 2Q 매출 16억 달러(YoY +4.1%), 영업이익 2억 달러(YoY +34.0%)</t>
        </is>
      </c>
      <c r="O16" s="93" t="inlineStr">
        <is>
          <t>FY23부터 보고통화 USD, 매출 CAGR -9.1%(2년)나 영업이익률 7.8%·ROE 5.6% 중상위권. PER 15.1배·PBR 0.85배</t>
        </is>
      </c>
      <c r="P16" s="93" t="inlineStr">
        <is>
          <t>DART 사업보고서 FY2022-FY2025, 연결재무제표, 26Q2반기보고서 / '26. 09. 15.</t>
        </is>
      </c>
      <c r="Q16" s="93" t="inlineStr">
        <is>
          <t>보류</t>
        </is>
      </c>
    </row>
    <row r="17" ht="45" customHeight="1">
      <c r="A17" s="94" t="inlineStr">
        <is>
          <t>로봇</t>
        </is>
      </c>
      <c r="B17" s="97" t="inlineStr">
        <is>
          <t>로보티즈</t>
        </is>
      </c>
      <c r="C17" s="87" t="inlineStr">
        <is>
          <t>108490</t>
        </is>
      </c>
      <c r="D17" s="88" t="n">
        <v>324500</v>
      </c>
      <c r="E17" s="224" t="n">
        <v>4.759451</v>
      </c>
      <c r="F17" s="90" t="n">
        <v>0.0008936097161851883</v>
      </c>
      <c r="G17" s="225" t="n">
        <v>0.06870777379464106</v>
      </c>
      <c r="H17" s="87" t="inlineStr">
        <is>
          <t>가능</t>
        </is>
      </c>
      <c r="I17" s="95" t="n">
        <v>0.1462653263917459</v>
      </c>
      <c r="J17" s="95" t="n">
        <v>0.08592243990832098</v>
      </c>
      <c r="K17" s="95" t="n">
        <v>0.01694985474246048</v>
      </c>
      <c r="L17" s="96" t="inlineStr">
        <is>
          <t>842.9/14.95</t>
        </is>
      </c>
      <c r="M17" s="96" t="inlineStr">
        <is>
          <t>다이나믹셀, 로봇 관절</t>
        </is>
      </c>
      <c r="N17" s="96" t="inlineStr">
        <is>
          <t>다이나믹셀 원천기술 개인기업. 26년 2Q 매출 154억원(YoY +95.1%)이나 상반기 누적 영업손실 -99억원으로 확대</t>
        </is>
      </c>
      <c r="O17" s="96" t="inlineStr">
        <is>
          <t>2025.8~11월 유상증자로 2,099억원 조달(발행가 155,500원) — FY25 자본총계 급증(950억→3,129억원)은 이익이 아닌 증자 때문. ROE 1.7%(14위)는 이 희석 효과 반영된 수치</t>
        </is>
      </c>
      <c r="P17" s="93" t="inlineStr">
        <is>
          <t>DART 사업보고서 FY2022-FY2025, 연결재무제표, 26Q2반기보고서 / '26. 09. 15.</t>
        </is>
      </c>
      <c r="Q17" s="93" t="inlineStr">
        <is>
          <t>보류</t>
        </is>
      </c>
    </row>
    <row r="18" ht="45" customHeight="1">
      <c r="A18" s="85" t="inlineStr">
        <is>
          <t>로봇</t>
        </is>
      </c>
      <c r="B18" s="86" t="inlineStr">
        <is>
          <t>두산로보틱스</t>
        </is>
      </c>
      <c r="C18" s="87" t="inlineStr">
        <is>
          <t>454910</t>
        </is>
      </c>
      <c r="D18" s="88" t="n">
        <v>69500</v>
      </c>
      <c r="E18" s="224" t="n">
        <v>4.504989</v>
      </c>
      <c r="F18" s="90" t="n">
        <v>0.0008458332571776441</v>
      </c>
      <c r="G18" s="225" t="n">
        <v>0.01471553244600171</v>
      </c>
      <c r="H18" s="87" t="inlineStr">
        <is>
          <t>가능</t>
        </is>
      </c>
      <c r="I18" s="92" t="n">
        <v>-0.211468057080894</v>
      </c>
      <c r="J18" s="92" t="n">
        <v>-1.803374898747332</v>
      </c>
      <c r="K18" s="92" t="n">
        <v>-0.1591971858682805</v>
      </c>
      <c r="L18" s="93" t="inlineStr">
        <is>
          <t>-/12.92</t>
        </is>
      </c>
      <c r="M18" s="93" t="inlineStr">
        <is>
          <t>협동로봇, 서비스로봇 솔루션</t>
        </is>
      </c>
      <c r="N18" s="96" t="inlineStr">
        <is>
          <t>(주)두산 지주 계열, 협동로봇 상위. 26년 2Q 매출 177억원(YoY +290.0%) 급증, 영업손실 -144억원 지속</t>
        </is>
      </c>
      <c r="O18" s="93" t="inlineStr">
        <is>
          <t>매출 CAGR -21.1%·영업이익률 -180.3%로 19종목 중 최하위. 최근 1년 신규 대형 계약·시설투자 공시 없음, 타법인 출자만 존재</t>
        </is>
      </c>
      <c r="P18" s="93" t="inlineStr">
        <is>
          <t>DART 사업보고서 FY2023-FY2025, 연결재무제표 / 26Q2반기보고서 '26. 09. 15.</t>
        </is>
      </c>
      <c r="Q18" s="93" t="inlineStr">
        <is>
          <t>탈락</t>
        </is>
      </c>
    </row>
    <row r="19" ht="30" customHeight="1">
      <c r="A19" s="94" t="inlineStr">
        <is>
          <t>건축</t>
        </is>
      </c>
      <c r="B19" s="86" t="inlineStr">
        <is>
          <t>KCC</t>
        </is>
      </c>
      <c r="C19" s="87" t="inlineStr">
        <is>
          <t>002380</t>
        </is>
      </c>
      <c r="D19" s="88" t="n">
        <v>470000</v>
      </c>
      <c r="E19" s="224" t="n">
        <v>4.038661</v>
      </c>
      <c r="F19" s="90" t="n">
        <v>0.0007582779421362232</v>
      </c>
      <c r="G19" s="225" t="n">
        <v>0.09951511150533529</v>
      </c>
      <c r="H19" s="87" t="inlineStr">
        <is>
          <t>가능</t>
        </is>
      </c>
      <c r="I19" s="95" t="n">
        <v>-0.01452650570519609</v>
      </c>
      <c r="J19" s="95" t="n">
        <v>0.06595111372486299</v>
      </c>
      <c r="K19" s="95" t="n">
        <v>0.1966258650330388</v>
      </c>
      <c r="L19" s="96" t="inlineStr">
        <is>
          <t>2.2/0.44</t>
        </is>
      </c>
      <c r="M19" s="96" t="inlineStr">
        <is>
          <t>건자재, 도료, 실리콘</t>
        </is>
      </c>
      <c r="N19" s="96" t="inlineStr">
        <is>
          <t>건자재·도료·실리콘, 정몽진 회장 최대주주. 26년 2Q 매출 1.8조원(YoY +7.2%), 영업이익 1,289억원(YoY -13.1%)</t>
        </is>
      </c>
      <c r="O19" s="96" t="inlineStr">
        <is>
          <t>ROE 19.7%(2위)·PER 2.2배·PBR 0.44배. 단 FY2025 순이익 급증(1.5조, 전년 5배)의 배경이 될 만한 대형 계약·자산매각 공시가 최근 1년간 없어 지분법손익 등 비영업 요인 가능성, 사업보고서 주석 확인 필요</t>
        </is>
      </c>
      <c r="P19" s="93" t="inlineStr">
        <is>
          <t>DART 사업보고서 FY2022-FY2025, 연결재무제표 / '26. 09. 15.</t>
        </is>
      </c>
      <c r="Q19" s="93" t="inlineStr">
        <is>
          <t>보류</t>
        </is>
      </c>
    </row>
    <row r="20" ht="45" customHeight="1">
      <c r="A20" s="85" t="inlineStr">
        <is>
          <t>건축</t>
        </is>
      </c>
      <c r="B20" s="97" t="inlineStr">
        <is>
          <t>DL이앤씨</t>
        </is>
      </c>
      <c r="C20" s="87" t="inlineStr">
        <is>
          <t>375500</t>
        </is>
      </c>
      <c r="D20" s="88" t="n">
        <v>89400</v>
      </c>
      <c r="E20" s="224" t="n">
        <v>3.45921</v>
      </c>
      <c r="F20" s="90" t="n">
        <v>0.0006494832421480894</v>
      </c>
      <c r="G20" s="225" t="n">
        <v>0.01892904461399356</v>
      </c>
      <c r="H20" s="87" t="inlineStr">
        <is>
          <t>가능</t>
        </is>
      </c>
      <c r="I20" s="92" t="n">
        <v>-0.004215010167715194</v>
      </c>
      <c r="J20" s="92" t="n">
        <v>0.05227385096073166</v>
      </c>
      <c r="K20" s="92" t="n">
        <v>0.07059163557915279</v>
      </c>
      <c r="L20" s="93" t="inlineStr">
        <is>
          <t>10.2/0.64</t>
        </is>
      </c>
      <c r="M20" s="93" t="inlineStr">
        <is>
          <t>주택건설, 토목, 플랜트</t>
        </is>
      </c>
      <c r="N20" s="93" t="inlineStr">
        <is>
          <t>DL(주) 지주 계열. 26년 2Q 매출 1.8조원(YoY -9.5%), 영업이익 1,594억원(YoY +26.3%)</t>
        </is>
      </c>
      <c r="O20" s="96" t="inlineStr">
        <is>
          <t>ROE 7.1%·PER 10.2배·PBR 0.64배. 최근 계약 변경분 5,243억원(매출액대비 6.30%) 등 공시 47건으로 수주 활동 꾸준</t>
        </is>
      </c>
      <c r="P20" s="93" t="inlineStr">
        <is>
          <t>DART 사업보고서 FY2022-FY2025, 연결재무제표, 26Q2반기보고서 / '26. 09. 15.</t>
        </is>
      </c>
      <c r="Q20" s="96" t="inlineStr">
        <is>
          <t>Top3</t>
        </is>
      </c>
    </row>
    <row r="21" ht="30" customHeight="1">
      <c r="A21" s="94" t="inlineStr">
        <is>
          <t>건축</t>
        </is>
      </c>
      <c r="B21" s="97" t="inlineStr">
        <is>
          <t>GS건설</t>
        </is>
      </c>
      <c r="C21" s="87" t="inlineStr">
        <is>
          <t>006360</t>
        </is>
      </c>
      <c r="D21" s="88" t="n">
        <v>37800</v>
      </c>
      <c r="E21" s="224" t="n">
        <v>3.23498</v>
      </c>
      <c r="F21" s="90" t="n">
        <v>0.0006073829859084085</v>
      </c>
      <c r="G21" s="225" t="n">
        <v>0.008003555776386541</v>
      </c>
      <c r="H21" s="87" t="inlineStr">
        <is>
          <t>가능</t>
        </is>
      </c>
      <c r="I21" s="95" t="n">
        <v>0.004079827314711792</v>
      </c>
      <c r="J21" s="95" t="n">
        <v>0.03516440144198391</v>
      </c>
      <c r="K21" s="95" t="n">
        <v>0.0195115254408443</v>
      </c>
      <c r="L21" s="96" t="inlineStr">
        <is>
          <t>35.2/0.67</t>
        </is>
      </c>
      <c r="M21" s="96" t="inlineStr">
        <is>
          <t>건축, 주택, 플랜트, 인프라, 수처리</t>
        </is>
      </c>
      <c r="N21" s="96" t="inlineStr">
        <is>
          <t>건축·주택·플랜트 전부문, 허창수 회장 계열. 26년 2Q 매출 2.8조원(YoY -13.0%), 영업이익 914억원(YoY -43.6%)</t>
        </is>
      </c>
      <c r="O21" s="96" t="inlineStr">
        <is>
          <t>2024년 서울시 영업정지 처분이 2026.9.19 항소심 확정판결로 전부 취소(리스크 해소). 다만 상반기 영업이익은 YoY -29.1%로 실적 자체는 둔화 중</t>
        </is>
      </c>
      <c r="P21" s="93" t="inlineStr">
        <is>
          <t>DART 사업보고서 FY2022-FY2025, 연결재무제표, 26Q2반기보고서 / '26. 09. 15.</t>
        </is>
      </c>
      <c r="Q21" s="93" t="inlineStr">
        <is>
          <t>보류</t>
        </is>
      </c>
    </row>
    <row r="22" ht="45" customHeight="1">
      <c r="A22" s="85" t="inlineStr">
        <is>
          <t>건설장비</t>
        </is>
      </c>
      <c r="B22" s="97" t="inlineStr">
        <is>
          <t>현대엘리베이터</t>
        </is>
      </c>
      <c r="C22" s="87" t="inlineStr">
        <is>
          <t>017800</t>
        </is>
      </c>
      <c r="D22" s="88" t="n">
        <v>73100</v>
      </c>
      <c r="E22" s="224" t="n">
        <v>2.857653</v>
      </c>
      <c r="F22" s="90" t="n">
        <v>0.000536538034803962</v>
      </c>
      <c r="G22" s="225" t="n">
        <v>0.01547777585327662</v>
      </c>
      <c r="H22" s="87" t="inlineStr">
        <is>
          <t>가능</t>
        </is>
      </c>
      <c r="I22" s="92" t="n">
        <v>0.05034717304500314</v>
      </c>
      <c r="J22" s="92" t="n">
        <v>0.08479520396428418</v>
      </c>
      <c r="K22" s="92" t="n">
        <v>0.1991550927596095</v>
      </c>
      <c r="L22" s="93" t="inlineStr">
        <is>
          <t>10.1/1.95</t>
        </is>
      </c>
      <c r="M22" s="93" t="inlineStr">
        <is>
          <t>엘리베이터, 에스컬레이터, 승강기 유지보수</t>
        </is>
      </c>
      <c r="N22" s="96" t="inlineStr">
        <is>
          <t>승강기 제조 상위, 현대그룹 지주. 26년 2Q 매출 6,928억원(YoY +8.7%), 영업이익 845억원(YoY +52.3%)</t>
        </is>
      </c>
      <c r="O22" s="93" t="inlineStr">
        <is>
          <t>ROE 19.9%(1위)·PER 10.1배(2위) 최상위권. 2025.9월 연지동 사옥 450억원 매각(자산총액대비 12.59%)으로 유동성 확보 — 이익 개선과 별개로 재무구조 효율화 진행 중</t>
        </is>
      </c>
      <c r="P22" s="93" t="inlineStr">
        <is>
          <t>DART 사업보고서 FY2022-FY2025, 연결재무제표, 26Q2반기보고서 / '26. 09. 15.</t>
        </is>
      </c>
      <c r="Q22" s="96" t="inlineStr">
        <is>
          <t>Top2</t>
        </is>
      </c>
    </row>
    <row r="23" ht="30" customHeight="1">
      <c r="A23" s="94" t="inlineStr">
        <is>
          <t>로봇</t>
        </is>
      </c>
      <c r="B23" s="97" t="inlineStr">
        <is>
          <t>현대무벡스</t>
        </is>
      </c>
      <c r="C23" s="87" t="inlineStr">
        <is>
          <t>319400</t>
        </is>
      </c>
      <c r="D23" s="88" t="n">
        <v>21450</v>
      </c>
      <c r="E23" s="224" t="n">
        <v>2.389016</v>
      </c>
      <c r="F23" s="90" t="n">
        <v>0.000448549193955747</v>
      </c>
      <c r="G23" s="225" t="n">
        <v>0.004541700301679664</v>
      </c>
      <c r="H23" s="87" t="inlineStr">
        <is>
          <t>가능</t>
        </is>
      </c>
      <c r="I23" s="95" t="n">
        <v>0.232413414079842</v>
      </c>
      <c r="J23" s="95" t="n">
        <v>0.04623169444359903</v>
      </c>
      <c r="K23" s="95" t="n">
        <v>0.07045286135176743</v>
      </c>
      <c r="L23" s="96" t="inlineStr">
        <is>
          <t>209.3/14.74</t>
        </is>
      </c>
      <c r="M23" s="96" t="inlineStr">
        <is>
          <t>물류자동화설비. 승강장안전문</t>
        </is>
      </c>
      <c r="N23" s="96" t="inlineStr">
        <is>
          <t>물류자동화·스크린도어, 현대엘리베이터 자회사. 26년 2Q 매출 1,004억원(YoY +1.5%) 정체, 영업이익 32억원(YoY -28.2%)</t>
        </is>
      </c>
      <c r="O23" s="96" t="inlineStr">
        <is>
          <t>매출 CAGR 23.2%(3위) 고성장이나 PER 209.3배로 부담. 최근 1년 계약공시 5건으로 소규모, 상반기 영업이익 YoY -73.5% 급감</t>
        </is>
      </c>
      <c r="P23" s="93" t="inlineStr">
        <is>
          <t>DART 사업보고서 FY2022-FY2025, 연결재무제표, 26Q2반기보고서 / '26. 09. 15.</t>
        </is>
      </c>
      <c r="Q23" s="96" t="inlineStr">
        <is>
          <t>탈락</t>
        </is>
      </c>
    </row>
    <row r="24" ht="45" customHeight="1">
      <c r="A24" s="85" t="inlineStr">
        <is>
          <t>부품</t>
        </is>
      </c>
      <c r="B24" s="97" t="inlineStr">
        <is>
          <t>에스피지</t>
        </is>
      </c>
      <c r="C24" s="87" t="inlineStr">
        <is>
          <t>058610</t>
        </is>
      </c>
      <c r="D24" s="88" t="n">
        <v>102800</v>
      </c>
      <c r="E24" s="224" t="n">
        <v>2.279833</v>
      </c>
      <c r="F24" s="90" t="n">
        <v>0.0004280495628759759</v>
      </c>
      <c r="G24" s="225" t="n">
        <v>0.02176628396329461</v>
      </c>
      <c r="H24" s="87" t="inlineStr">
        <is>
          <t>가능</t>
        </is>
      </c>
      <c r="I24" s="92" t="n">
        <v>-0.08118488527670664</v>
      </c>
      <c r="J24" s="92" t="n">
        <v>0.05250400500305558</v>
      </c>
      <c r="K24" s="92" t="n">
        <v>0.0354026539480033</v>
      </c>
      <c r="L24" s="93" t="inlineStr">
        <is>
          <t>249.5/8.84</t>
        </is>
      </c>
      <c r="M24" s="93" t="inlineStr">
        <is>
          <t>정밀모터/감속기</t>
        </is>
      </c>
      <c r="N24" s="96" t="inlineStr">
        <is>
          <t>정밀모터·감속기 전문. 26년 2Q 매출 888억원(YoY +10.3%), 영업이익 40억원(YoY +2.0%)</t>
        </is>
      </c>
      <c r="O24" s="93" t="inlineStr">
        <is>
          <t>매출 CAGR -8.1% 역성장, PER 249.5배 부담. 최근 1년간 특이 수시공시 없음</t>
        </is>
      </c>
      <c r="P24" s="93" t="inlineStr">
        <is>
          <t>DART 사업보고서 FY2022-FY2025, 연결재무제표, 26Q2반기보고서 / '26. 09. 15.</t>
        </is>
      </c>
      <c r="Q24" s="96" t="inlineStr">
        <is>
          <t>탈락</t>
        </is>
      </c>
    </row>
    <row r="25" ht="45" customHeight="1">
      <c r="A25" s="94" t="inlineStr">
        <is>
          <t>부품</t>
        </is>
      </c>
      <c r="B25" s="97" t="inlineStr">
        <is>
          <t>삼현</t>
        </is>
      </c>
      <c r="C25" s="87" t="inlineStr">
        <is>
          <t>437730</t>
        </is>
      </c>
      <c r="D25" s="88" t="n">
        <v>52700</v>
      </c>
      <c r="E25" s="224" t="n">
        <v>1.670989</v>
      </c>
      <c r="F25" s="90" t="n">
        <v>0.0003137361863875837</v>
      </c>
      <c r="G25" s="225" t="n">
        <v>0.01115839654538547</v>
      </c>
      <c r="H25" s="87" t="inlineStr">
        <is>
          <t>가능</t>
        </is>
      </c>
      <c r="I25" s="95" t="n">
        <v>-0.02436842372761361</v>
      </c>
      <c r="J25" s="95" t="n">
        <v>0.00847347813090028</v>
      </c>
      <c r="K25" s="95" t="n">
        <v>0.0738899764898793</v>
      </c>
      <c r="L25" s="96" t="inlineStr">
        <is>
          <t>171.7/12.64</t>
        </is>
      </c>
      <c r="M25" s="96" t="inlineStr">
        <is>
          <t>자동차 파워트레인 부품, 전기차 구동계 부품</t>
        </is>
      </c>
      <c r="N25" s="96" t="inlineStr">
        <is>
          <t>자동차 파워트레인·전기차 구동계 부품. 26년 2Q 매출 210억원(YoY -21.8%), 영업손실 -54억원 적자전환</t>
        </is>
      </c>
      <c r="O25" s="96" t="inlineStr">
        <is>
          <t>ROE 7.4%(5위) 준수하나 상반기 영업손실 전환. 2026년 자사주 취득 결정·실행 확인됨(주주환원 의지), 다만 규모는 크지 않음</t>
        </is>
      </c>
      <c r="P25" s="93" t="inlineStr">
        <is>
          <t>DART 사업보고서 FY2023-FY2025, 연결재무제표 / 26Q2반기보고서' / 26. 09. 15.</t>
        </is>
      </c>
      <c r="Q25" s="93" t="inlineStr">
        <is>
          <t>보류</t>
        </is>
      </c>
    </row>
    <row r="26">
      <c r="A26" s="85" t="n"/>
      <c r="B26" s="98" t="inlineStr">
        <is>
          <t>유일로보틱스</t>
        </is>
      </c>
      <c r="C26" s="99" t="inlineStr">
        <is>
          <t>388720</t>
        </is>
      </c>
      <c r="D26" s="100" t="n">
        <v>69500</v>
      </c>
      <c r="E26" s="226" t="n">
        <v>0.8188029999999999</v>
      </c>
      <c r="F26" s="102" t="n">
        <v>0.0001537341841404777</v>
      </c>
      <c r="G26" s="227" t="n">
        <v>0.01471553244600171</v>
      </c>
      <c r="H26" s="99" t="inlineStr">
        <is>
          <t>가능</t>
        </is>
      </c>
      <c r="I26" s="92" t="n"/>
      <c r="J26" s="92" t="n"/>
      <c r="K26" s="92" t="n"/>
      <c r="L26" s="93" t="n"/>
      <c r="M26" s="93" t="n"/>
      <c r="N26" s="93" t="n"/>
      <c r="O26" s="93" t="n"/>
      <c r="P26" s="93" t="n"/>
      <c r="Q26" s="93" t="n"/>
    </row>
    <row r="27">
      <c r="A27" s="94" t="n"/>
      <c r="B27" s="98" t="inlineStr">
        <is>
          <t>휴림로봇</t>
        </is>
      </c>
      <c r="C27" s="99" t="inlineStr">
        <is>
          <t>090710</t>
        </is>
      </c>
      <c r="D27" s="100" t="n">
        <v>6140</v>
      </c>
      <c r="E27" s="226" t="n">
        <v>0.734092</v>
      </c>
      <c r="F27" s="102" t="n">
        <v>0.0001378292882464421</v>
      </c>
      <c r="G27" s="227" t="n">
        <v>0.001300048477963316</v>
      </c>
      <c r="H27" s="99" t="inlineStr">
        <is>
          <t>가능</t>
        </is>
      </c>
      <c r="I27" s="95" t="n"/>
      <c r="J27" s="95" t="n"/>
      <c r="K27" s="95" t="n"/>
      <c r="L27" s="96" t="n"/>
      <c r="M27" s="96" t="n"/>
      <c r="N27" s="96" t="n"/>
      <c r="O27" s="96" t="n"/>
      <c r="P27" s="96" t="n"/>
      <c r="Q27" s="96" t="n"/>
    </row>
    <row r="28" ht="18" customHeight="1">
      <c r="A28" s="104" t="n"/>
      <c r="B28" s="105" t="inlineStr">
        <is>
          <t>삼표시멘트</t>
        </is>
      </c>
      <c r="C28" s="106" t="inlineStr">
        <is>
          <t>038500</t>
        </is>
      </c>
      <c r="D28" s="107" t="n">
        <v>6790</v>
      </c>
      <c r="E28" s="228" t="n">
        <v>0.732752</v>
      </c>
      <c r="F28" s="109" t="n">
        <v>0.0001375776968297665</v>
      </c>
      <c r="G28" s="229" t="n">
        <v>0.001437675759832397</v>
      </c>
      <c r="H28" s="106" t="inlineStr">
        <is>
          <t>가능</t>
        </is>
      </c>
      <c r="I28" s="111" t="n"/>
      <c r="J28" s="111" t="n"/>
      <c r="K28" s="111" t="n"/>
      <c r="L28" s="112" t="n"/>
      <c r="M28" s="112" t="n"/>
      <c r="N28" s="112" t="n"/>
      <c r="O28" s="112" t="n"/>
      <c r="P28" s="112" t="n"/>
      <c r="Q28" s="112" t="n"/>
    </row>
    <row r="29" ht="18" customHeight="1"/>
    <row r="30" ht="22" customHeight="1">
      <c r="A30" s="113" t="inlineStr">
        <is>
          <t>선정 결과</t>
        </is>
      </c>
      <c r="B30" s="113" t="n"/>
      <c r="C30" s="113" t="n"/>
      <c r="D30" s="113" t="n"/>
      <c r="E30" s="113" t="n"/>
      <c r="F30" s="113" t="n"/>
      <c r="G30" s="113" t="n"/>
      <c r="H30" s="113" t="n"/>
      <c r="I30" s="113" t="n"/>
      <c r="J30" s="113" t="n"/>
      <c r="K30" s="113" t="n"/>
      <c r="L30" s="113" t="n"/>
      <c r="M30" s="113" t="n"/>
      <c r="N30" s="113" t="n"/>
      <c r="O30" s="113" t="n"/>
      <c r="P30" s="113" t="n"/>
      <c r="Q30" s="113" t="n"/>
    </row>
    <row r="31" ht="19" customHeight="1">
      <c r="A31" s="81" t="inlineStr">
        <is>
          <t>Top 1</t>
        </is>
      </c>
      <c r="B31" s="82" t="inlineStr">
        <is>
          <t>삼성E&amp;A</t>
        </is>
      </c>
      <c r="C31" s="114" t="inlineStr">
        <is>
          <t>ROE 19.9%로 19종목 중 1위, PER 10.1배로 2위 — 수익성과 밸류에이션 섹터 내 상위권. 상반기 영업이익도 YoY +20.3%로 개선 중이고, 사옥 매각(450억원)으로 재무구조까지 개선</t>
        </is>
      </c>
      <c r="D31" s="40" t="n"/>
      <c r="E31" s="40" t="n"/>
      <c r="F31" s="40" t="n"/>
      <c r="G31" s="40" t="n"/>
      <c r="H31" s="40" t="n"/>
      <c r="I31" s="40" t="n"/>
      <c r="J31" s="40" t="n"/>
      <c r="K31" s="40" t="n"/>
      <c r="L31" s="40" t="n"/>
      <c r="M31" s="40" t="n"/>
      <c r="N31" s="40" t="n"/>
      <c r="O31" s="40" t="n"/>
      <c r="P31" s="40" t="n"/>
      <c r="Q31" s="9" t="n"/>
    </row>
    <row r="32" ht="19" customHeight="1">
      <c r="A32" s="81" t="inlineStr">
        <is>
          <t>Top 2</t>
        </is>
      </c>
      <c r="B32" s="82" t="inlineStr">
        <is>
          <t>현대엘리베이터</t>
        </is>
      </c>
      <c r="C32" s="93" t="inlineStr">
        <is>
          <t>영업이익률 8.8%(2위)·ROE 13.7%(3위)로 섹터 내 수익성 상위. 해외 대형 플랜트 계약(7,721억원, 매출의 10.3%)이 최근 확정돼 수주잔고도 확인됨. PER 16.1배</t>
        </is>
      </c>
      <c r="D32" s="40" t="n"/>
      <c r="E32" s="40" t="n"/>
      <c r="F32" s="40" t="n"/>
      <c r="G32" s="40" t="n"/>
      <c r="H32" s="40" t="n"/>
      <c r="I32" s="40" t="n"/>
      <c r="J32" s="40" t="n"/>
      <c r="K32" s="40" t="n"/>
      <c r="L32" s="40" t="n"/>
      <c r="M32" s="40" t="n"/>
      <c r="N32" s="40" t="n"/>
      <c r="O32" s="40" t="n"/>
      <c r="P32" s="40" t="n"/>
      <c r="Q32" s="9" t="n"/>
    </row>
    <row r="33" ht="19" customHeight="1">
      <c r="A33" s="81" t="inlineStr">
        <is>
          <t>Top 3</t>
        </is>
      </c>
      <c r="B33" s="82" t="inlineStr">
        <is>
          <t>DL이앤씨</t>
        </is>
      </c>
      <c r="C33" s="93" t="inlineStr">
        <is>
          <t>상반기 영업이익 YoY +52.9%로 19종목 중에서도 뚜렷한 개선세. 최근 1년 계약 공시 47건으로 수주 활동도 꾸준(최근 변경분 5,243억원)</t>
        </is>
      </c>
      <c r="D33" s="40" t="n"/>
      <c r="E33" s="40" t="n"/>
      <c r="F33" s="40" t="n"/>
      <c r="G33" s="40" t="n"/>
      <c r="H33" s="40" t="n"/>
      <c r="I33" s="40" t="n"/>
      <c r="J33" s="40" t="n"/>
      <c r="K33" s="40" t="n"/>
      <c r="L33" s="40" t="n"/>
      <c r="M33" s="40" t="n"/>
      <c r="N33" s="40" t="n"/>
      <c r="O33" s="40" t="n"/>
      <c r="P33" s="40" t="n"/>
      <c r="Q33" s="9" t="n"/>
    </row>
    <row r="34" ht="19" customHeight="1">
      <c r="A34" s="81" t="inlineStr">
        <is>
          <t>탈락 1</t>
        </is>
      </c>
      <c r="B34" s="82" t="inlineStr">
        <is>
          <t>레인보우로보틱스</t>
        </is>
      </c>
      <c r="C34" s="114" t="inlineStr">
        <is>
          <t>주가의 빠른 상승으로 인한 PER, PBR 지표 변화로 정량적 평가가 어려움. 영업적자 기록</t>
        </is>
      </c>
      <c r="D34" s="40" t="n"/>
      <c r="E34" s="40" t="n"/>
      <c r="F34" s="40" t="n"/>
      <c r="G34" s="40" t="n"/>
      <c r="H34" s="40" t="n"/>
      <c r="I34" s="40" t="n"/>
      <c r="J34" s="40" t="n"/>
      <c r="K34" s="40" t="n"/>
      <c r="L34" s="40" t="n"/>
      <c r="M34" s="40" t="n"/>
      <c r="N34" s="40" t="n"/>
      <c r="O34" s="40" t="n"/>
      <c r="P34" s="40" t="n"/>
      <c r="Q34" s="9" t="n"/>
    </row>
    <row r="35" ht="19" customHeight="1">
      <c r="A35" s="81" t="inlineStr">
        <is>
          <t>탈락 2</t>
        </is>
      </c>
      <c r="B35" s="82" t="inlineStr">
        <is>
          <t>대우건설</t>
        </is>
      </c>
      <c r="C35" s="93" t="inlineStr">
        <is>
          <t>CAGR·영업이익률·ROE 전부 하위권, ROE -27.4%로 수익성 낮음</t>
        </is>
      </c>
      <c r="D35" s="40" t="n"/>
      <c r="E35" s="40" t="n"/>
      <c r="F35" s="40" t="n"/>
      <c r="G35" s="40" t="n"/>
      <c r="H35" s="40" t="n"/>
      <c r="I35" s="40" t="n"/>
      <c r="J35" s="40" t="n"/>
      <c r="K35" s="40" t="n"/>
      <c r="L35" s="40" t="n"/>
      <c r="M35" s="40" t="n"/>
      <c r="N35" s="40" t="n"/>
      <c r="O35" s="40" t="n"/>
      <c r="P35" s="40" t="n"/>
      <c r="Q35" s="9" t="n"/>
    </row>
    <row r="36" ht="19" customHeight="1">
      <c r="A36" s="81" t="inlineStr">
        <is>
          <t>탈락 3</t>
        </is>
      </c>
      <c r="B36" s="82" t="inlineStr">
        <is>
          <t>두산로보틱스</t>
        </is>
      </c>
      <c r="C36" s="93" t="inlineStr">
        <is>
          <t>매출 CAGR·영업이익률 둘 다 19종목 중 최하위(영업이익률 -180.3%), 신규 계약·투자 공시도 없음</t>
        </is>
      </c>
      <c r="D36" s="40" t="n"/>
      <c r="E36" s="40" t="n"/>
      <c r="F36" s="40" t="n"/>
      <c r="G36" s="40" t="n"/>
      <c r="H36" s="40" t="n"/>
      <c r="I36" s="40" t="n"/>
      <c r="J36" s="40" t="n"/>
      <c r="K36" s="40" t="n"/>
      <c r="L36" s="40" t="n"/>
      <c r="M36" s="40" t="n"/>
      <c r="N36" s="40" t="n"/>
      <c r="O36" s="40" t="n"/>
      <c r="P36" s="40" t="n"/>
      <c r="Q36" s="9" t="n"/>
    </row>
    <row r="37" ht="19" customHeight="1">
      <c r="A37" s="81" t="inlineStr">
        <is>
          <t>탈락 4</t>
        </is>
      </c>
      <c r="B37" s="82" t="inlineStr">
        <is>
          <t>현대무벡스</t>
        </is>
      </c>
      <c r="C37" s="93" t="inlineStr">
        <is>
          <t>매출 CAGR 23.2%(19종목 중 3위)로 외형 성장은 좋지만, PER 209.3배는 19종목 중 12위, 현대엘리베이터 자회사로 지배구조 중복</t>
        </is>
      </c>
      <c r="D37" s="40" t="n"/>
      <c r="E37" s="40" t="n"/>
      <c r="F37" s="40" t="n"/>
      <c r="G37" s="40" t="n"/>
      <c r="H37" s="40" t="n"/>
      <c r="I37" s="40" t="n"/>
      <c r="J37" s="40" t="n"/>
      <c r="K37" s="40" t="n"/>
      <c r="L37" s="40" t="n"/>
      <c r="M37" s="40" t="n"/>
      <c r="N37" s="40" t="n"/>
      <c r="O37" s="40" t="n"/>
      <c r="P37" s="40" t="n"/>
      <c r="Q37" s="9" t="n"/>
    </row>
    <row r="38" ht="19" customHeight="1">
      <c r="A38" s="115" t="inlineStr">
        <is>
          <t>탈락 5</t>
        </is>
      </c>
      <c r="B38" s="116" t="inlineStr">
        <is>
          <t>에스피지</t>
        </is>
      </c>
      <c r="C38" s="112" t="inlineStr">
        <is>
          <t>섹터 내 매출 CAGR 하위권. 최근 1년간 수주·투자·증자 등 특이 수시공시가 전혀 없음</t>
        </is>
      </c>
      <c r="D38" s="45" t="n"/>
      <c r="E38" s="45" t="n"/>
      <c r="F38" s="45" t="n"/>
      <c r="G38" s="45" t="n"/>
      <c r="H38" s="45" t="n"/>
      <c r="I38" s="45" t="n"/>
      <c r="J38" s="45" t="n"/>
      <c r="K38" s="45" t="n"/>
      <c r="L38" s="45" t="n"/>
      <c r="M38" s="45" t="n"/>
      <c r="N38" s="45" t="n"/>
      <c r="O38" s="45" t="n"/>
      <c r="P38" s="45" t="n"/>
      <c r="Q38" s="46" t="n"/>
    </row>
  </sheetData>
  <mergeCells count="15">
    <mergeCell ref="E4:F4"/>
    <mergeCell ref="C33:Q33"/>
    <mergeCell ref="C32:Q32"/>
    <mergeCell ref="C38:Q38"/>
    <mergeCell ref="B4:C4"/>
    <mergeCell ref="B5:C5"/>
    <mergeCell ref="C36:Q36"/>
    <mergeCell ref="E5:F5"/>
    <mergeCell ref="K5:L5"/>
    <mergeCell ref="H5:I5"/>
    <mergeCell ref="C31:Q31"/>
    <mergeCell ref="C37:Q37"/>
    <mergeCell ref="H4:I4"/>
    <mergeCell ref="C35:Q35"/>
    <mergeCell ref="C34:Q34"/>
  </mergeCells>
  <dataValidations count="1">
    <dataValidation sqref="Q10:Q28" showDropDown="0" showInputMessage="0" showErrorMessage="0" allowBlank="1" type="list">
      <formula1>"Top1,Top2,Top3,보류,탈락"</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7"/>
  <sheetViews>
    <sheetView showGridLines="0"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6" customWidth="1" min="2" max="2"/>
    <col width="8" customWidth="1" min="3" max="3"/>
    <col width="10" customWidth="1" min="4" max="4"/>
    <col width="11" customWidth="1" min="5" max="5"/>
    <col width="10" customWidth="1" min="6" max="6"/>
    <col width="11" customWidth="1" min="7" max="7"/>
    <col width="10" customWidth="1" min="8" max="8"/>
    <col width="12" customWidth="1" min="9" max="9"/>
    <col width="10" customWidth="1" min="10" max="10"/>
    <col width="9" customWidth="1" min="11" max="11"/>
    <col width="11" customWidth="1" min="12" max="12"/>
    <col width="22" customWidth="1" min="13" max="13"/>
    <col width="26" customWidth="1" min="14" max="14"/>
    <col width="34" customWidth="1" min="15" max="15"/>
    <col width="18" customWidth="1" min="16" max="16"/>
    <col width="9" customWidth="1" min="17" max="17"/>
  </cols>
  <sheetData>
    <row r="1" ht="22" customHeight="1">
      <c r="A1" s="1" t="inlineStr">
        <is>
          <t>방산·우주</t>
        </is>
      </c>
    </row>
    <row r="2">
      <c r="A2" s="2" t="inlineStr">
        <is>
          <t>ICOK Fund 26-2  ·  담당 산업 스크리닝</t>
        </is>
      </c>
    </row>
    <row r="3" ht="3" customHeight="1">
      <c r="A3" s="3" t="n"/>
      <c r="B3" s="3" t="n"/>
      <c r="C3" s="3" t="n"/>
      <c r="D3" s="3" t="n"/>
      <c r="E3" s="3" t="n"/>
      <c r="F3" s="3" t="n"/>
      <c r="G3" s="3" t="n"/>
      <c r="H3" s="3" t="n"/>
      <c r="I3" s="3" t="n"/>
      <c r="J3" s="3" t="n"/>
      <c r="K3" s="3" t="n"/>
      <c r="L3" s="3" t="n"/>
      <c r="M3" s="3" t="n"/>
      <c r="N3" s="3" t="n"/>
      <c r="O3" s="3" t="n"/>
      <c r="P3" s="3" t="n"/>
      <c r="Q3" s="3" t="n"/>
    </row>
    <row r="4" ht="17" customHeight="1">
      <c r="A4" s="4" t="inlineStr">
        <is>
          <t>팀</t>
        </is>
      </c>
      <c r="B4" s="8" t="inlineStr">
        <is>
          <t>팀 2 · 중후장대·인프라</t>
        </is>
      </c>
      <c r="C4" s="9" t="n"/>
      <c r="D4" s="4" t="inlineStr">
        <is>
          <t>담당자</t>
        </is>
      </c>
      <c r="E4" s="8" t="n"/>
      <c r="F4" s="9" t="n"/>
      <c r="G4" s="4" t="inlineStr">
        <is>
          <t>제출일</t>
        </is>
      </c>
      <c r="H4" s="8" t="n"/>
      <c r="I4" s="9" t="n"/>
    </row>
    <row r="5" ht="17" customHeight="1">
      <c r="A5" s="4" t="inlineStr">
        <is>
          <t>지수 비중</t>
        </is>
      </c>
      <c r="B5" s="8" t="inlineStr">
        <is>
          <t>2.11%</t>
        </is>
      </c>
      <c r="C5" s="9" t="n"/>
      <c r="D5" s="4" t="inlineStr">
        <is>
          <t>배정액</t>
        </is>
      </c>
      <c r="E5" s="8" t="inlineStr">
        <is>
          <t>590,999원</t>
        </is>
      </c>
      <c r="F5" s="9" t="n"/>
      <c r="G5" s="4" t="inlineStr">
        <is>
          <t>종목 수</t>
        </is>
      </c>
      <c r="H5" s="8" t="inlineStr">
        <is>
          <t>8</t>
        </is>
      </c>
      <c r="I5" s="9" t="n"/>
      <c r="J5" s="4" t="inlineStr">
        <is>
          <t>기준일</t>
        </is>
      </c>
      <c r="K5" s="8" t="inlineStr">
        <is>
          <t>2026-09-15</t>
        </is>
      </c>
      <c r="L5" s="9" t="n"/>
    </row>
    <row r="7">
      <c r="A7" s="2" t="inlineStr">
        <is>
          <t>음영 셀은 기입 완료. 흰색 셀만 작성한다.</t>
        </is>
      </c>
    </row>
    <row r="9" ht="26" customHeight="1">
      <c r="A9" s="11" t="inlineStr">
        <is>
          <t>하위 테마</t>
        </is>
      </c>
      <c r="B9" s="11" t="inlineStr">
        <is>
          <t>기업명</t>
        </is>
      </c>
      <c r="C9" s="11" t="inlineStr">
        <is>
          <t>코드</t>
        </is>
      </c>
      <c r="D9" s="11" t="inlineStr">
        <is>
          <t>주가</t>
        </is>
      </c>
      <c r="E9" s="11" t="inlineStr">
        <is>
          <t>시가총액(조)</t>
        </is>
      </c>
      <c r="F9" s="11" t="inlineStr">
        <is>
          <t>지수 비중</t>
        </is>
      </c>
      <c r="G9" s="11" t="inlineStr">
        <is>
          <t>1주 / 팀예산</t>
        </is>
      </c>
      <c r="H9" s="11" t="inlineStr">
        <is>
          <t>매수 판정</t>
        </is>
      </c>
      <c r="I9" s="11" t="inlineStr">
        <is>
          <t>매출 CAGR(3Y)</t>
        </is>
      </c>
      <c r="J9" s="11" t="inlineStr">
        <is>
          <t>영업이익률</t>
        </is>
      </c>
      <c r="K9" s="11" t="inlineStr">
        <is>
          <t>ROE</t>
        </is>
      </c>
      <c r="L9" s="11" t="inlineStr">
        <is>
          <t>PER / PBR</t>
        </is>
      </c>
      <c r="M9" s="11" t="inlineStr">
        <is>
          <t>주요 제품</t>
        </is>
      </c>
      <c r="N9" s="11" t="inlineStr">
        <is>
          <t>시장 포지셔닝</t>
        </is>
      </c>
      <c r="O9" s="11" t="inlineStr">
        <is>
          <t>투자포인트 / 탈락 사유</t>
        </is>
      </c>
      <c r="P9" s="11" t="inlineStr">
        <is>
          <t>출처 · 기준일</t>
        </is>
      </c>
      <c r="Q9" s="11" t="inlineStr">
        <is>
          <t>판정</t>
        </is>
      </c>
    </row>
    <row r="10">
      <c r="A10" s="13" t="n"/>
      <c r="B10" s="14" t="inlineStr">
        <is>
          <t>한화에어로스페이스</t>
        </is>
      </c>
      <c r="C10" s="15" t="inlineStr">
        <is>
          <t>012450</t>
        </is>
      </c>
      <c r="D10" s="16" t="n">
        <v>1063000</v>
      </c>
      <c r="E10" s="218" t="n">
        <v>54.811895</v>
      </c>
      <c r="F10" s="18" t="n">
        <v>0.01029119575651107</v>
      </c>
      <c r="G10" s="219" t="n">
        <v>0.2250735394258966</v>
      </c>
      <c r="H10" s="15" t="inlineStr">
        <is>
          <t>가능</t>
        </is>
      </c>
      <c r="I10" s="5" t="n"/>
      <c r="J10" s="5" t="n"/>
      <c r="K10" s="5" t="n"/>
      <c r="L10" s="5" t="n"/>
      <c r="M10" s="5" t="n"/>
      <c r="N10" s="5" t="n"/>
      <c r="O10" s="5" t="n"/>
      <c r="P10" s="5" t="n"/>
      <c r="Q10" s="5" t="n"/>
    </row>
    <row r="11">
      <c r="A11" s="22" t="n"/>
      <c r="B11" s="14" t="inlineStr">
        <is>
          <t>LIG디펜스앤에어로스페이스</t>
        </is>
      </c>
      <c r="C11" s="15" t="inlineStr">
        <is>
          <t>079550</t>
        </is>
      </c>
      <c r="D11" s="16" t="n">
        <v>671000</v>
      </c>
      <c r="E11" s="218" t="n">
        <v>14.762</v>
      </c>
      <c r="F11" s="18" t="n">
        <v>0.002771636188780124</v>
      </c>
      <c r="G11" s="219" t="n">
        <v>0.142073701744851</v>
      </c>
      <c r="H11" s="15" t="inlineStr">
        <is>
          <t>가능</t>
        </is>
      </c>
      <c r="I11" s="25" t="n"/>
      <c r="J11" s="25" t="n"/>
      <c r="K11" s="25" t="n"/>
      <c r="L11" s="25" t="n"/>
      <c r="M11" s="25" t="n"/>
      <c r="N11" s="25" t="n"/>
      <c r="O11" s="25" t="n"/>
      <c r="P11" s="25" t="n"/>
      <c r="Q11" s="25" t="n"/>
    </row>
    <row r="12">
      <c r="A12" s="13" t="n"/>
      <c r="B12" s="14" t="inlineStr">
        <is>
          <t>현대로템</t>
        </is>
      </c>
      <c r="C12" s="15" t="inlineStr">
        <is>
          <t>064350</t>
        </is>
      </c>
      <c r="D12" s="16" t="n">
        <v>121400</v>
      </c>
      <c r="E12" s="218" t="n">
        <v>13.249874</v>
      </c>
      <c r="F12" s="18" t="n">
        <v>0.002487727291368166</v>
      </c>
      <c r="G12" s="219" t="n">
        <v>0.02570454156754831</v>
      </c>
      <c r="H12" s="15" t="inlineStr">
        <is>
          <t>가능</t>
        </is>
      </c>
      <c r="I12" s="5" t="n"/>
      <c r="J12" s="5" t="n"/>
      <c r="K12" s="5" t="n"/>
      <c r="L12" s="5" t="n"/>
      <c r="M12" s="5" t="n"/>
      <c r="N12" s="5" t="n"/>
      <c r="O12" s="5" t="n"/>
      <c r="P12" s="5" t="n"/>
      <c r="Q12" s="5" t="n"/>
    </row>
    <row r="13">
      <c r="A13" s="22" t="n"/>
      <c r="B13" s="14" t="inlineStr">
        <is>
          <t>한화시스템</t>
        </is>
      </c>
      <c r="C13" s="15" t="inlineStr">
        <is>
          <t>272210</t>
        </is>
      </c>
      <c r="D13" s="16" t="n">
        <v>69700</v>
      </c>
      <c r="E13" s="218" t="n">
        <v>13.167681</v>
      </c>
      <c r="F13" s="18" t="n">
        <v>0.002472295162031734</v>
      </c>
      <c r="G13" s="219" t="n">
        <v>0.01475787930196142</v>
      </c>
      <c r="H13" s="15" t="inlineStr">
        <is>
          <t>가능</t>
        </is>
      </c>
      <c r="I13" s="25" t="n"/>
      <c r="J13" s="25" t="n"/>
      <c r="K13" s="25" t="n"/>
      <c r="L13" s="25" t="n"/>
      <c r="M13" s="25" t="n"/>
      <c r="N13" s="25" t="n"/>
      <c r="O13" s="25" t="n"/>
      <c r="P13" s="25" t="n"/>
      <c r="Q13" s="25" t="n"/>
    </row>
    <row r="14">
      <c r="A14" s="13" t="n"/>
      <c r="B14" s="14" t="inlineStr">
        <is>
          <t>한국항공우주</t>
        </is>
      </c>
      <c r="C14" s="15" t="inlineStr">
        <is>
          <t>047810</t>
        </is>
      </c>
      <c r="D14" s="16" t="n">
        <v>129000</v>
      </c>
      <c r="E14" s="218" t="n">
        <v>12.574289</v>
      </c>
      <c r="F14" s="18" t="n">
        <v>0.002360882972536231</v>
      </c>
      <c r="G14" s="219" t="n">
        <v>0.02731372209401756</v>
      </c>
      <c r="H14" s="15" t="inlineStr">
        <is>
          <t>가능</t>
        </is>
      </c>
      <c r="I14" s="5" t="n"/>
      <c r="J14" s="5" t="n"/>
      <c r="K14" s="5" t="n"/>
      <c r="L14" s="5" t="n"/>
      <c r="M14" s="5" t="n"/>
      <c r="N14" s="5" t="n"/>
      <c r="O14" s="5" t="n"/>
      <c r="P14" s="5" t="n"/>
      <c r="Q14" s="5" t="n"/>
    </row>
    <row r="15">
      <c r="A15" s="22" t="n"/>
      <c r="B15" s="14" t="inlineStr">
        <is>
          <t>풍산</t>
        </is>
      </c>
      <c r="C15" s="15" t="inlineStr">
        <is>
          <t>103140</t>
        </is>
      </c>
      <c r="D15" s="16" t="n">
        <v>76100</v>
      </c>
      <c r="E15" s="218" t="n">
        <v>2.132648</v>
      </c>
      <c r="F15" s="18" t="n">
        <v>0.0004004148743212</v>
      </c>
      <c r="G15" s="219" t="n">
        <v>0.01611297869267237</v>
      </c>
      <c r="H15" s="15" t="inlineStr">
        <is>
          <t>가능</t>
        </is>
      </c>
      <c r="I15" s="25" t="n"/>
      <c r="J15" s="25" t="n"/>
      <c r="K15" s="25" t="n"/>
      <c r="L15" s="25" t="n"/>
      <c r="M15" s="25" t="n"/>
      <c r="N15" s="25" t="n"/>
      <c r="O15" s="25" t="n"/>
      <c r="P15" s="25" t="n"/>
      <c r="Q15" s="25" t="n"/>
    </row>
    <row r="16">
      <c r="A16" s="13" t="n"/>
      <c r="B16" s="14" t="inlineStr">
        <is>
          <t>STX엔진</t>
        </is>
      </c>
      <c r="C16" s="15" t="inlineStr">
        <is>
          <t>077970</t>
        </is>
      </c>
      <c r="D16" s="16" t="n">
        <v>23150</v>
      </c>
      <c r="E16" s="218" t="n">
        <v>0.929428</v>
      </c>
      <c r="F16" s="18" t="n">
        <v>0.0001745045576253579</v>
      </c>
      <c r="G16" s="219" t="n">
        <v>0.004901648577337259</v>
      </c>
      <c r="H16" s="15" t="inlineStr">
        <is>
          <t>가능</t>
        </is>
      </c>
      <c r="I16" s="5" t="n"/>
      <c r="J16" s="5" t="n"/>
      <c r="K16" s="5" t="n"/>
      <c r="L16" s="5" t="n"/>
      <c r="M16" s="5" t="n"/>
      <c r="N16" s="5" t="n"/>
      <c r="O16" s="5" t="n"/>
      <c r="P16" s="5" t="n"/>
      <c r="Q16" s="5" t="n"/>
    </row>
    <row r="17">
      <c r="A17" s="29" t="n"/>
      <c r="B17" s="30" t="inlineStr">
        <is>
          <t>쎄트렉아이</t>
        </is>
      </c>
      <c r="C17" s="31" t="inlineStr">
        <is>
          <t>099320</t>
        </is>
      </c>
      <c r="D17" s="32" t="n">
        <v>72200</v>
      </c>
      <c r="E17" s="220" t="n">
        <v>0.790682</v>
      </c>
      <c r="F17" s="34" t="n">
        <v>0.0001484543317312726</v>
      </c>
      <c r="G17" s="221" t="n">
        <v>0.01528721500145789</v>
      </c>
      <c r="H17" s="31" t="inlineStr">
        <is>
          <t>가능</t>
        </is>
      </c>
      <c r="I17" s="36" t="n"/>
      <c r="J17" s="36" t="n"/>
      <c r="K17" s="36" t="n"/>
      <c r="L17" s="36" t="n"/>
      <c r="M17" s="36" t="n"/>
      <c r="N17" s="36" t="n"/>
      <c r="O17" s="36" t="n"/>
      <c r="P17" s="36" t="n"/>
      <c r="Q17" s="36" t="n"/>
    </row>
    <row r="19" ht="22" customHeight="1">
      <c r="A19" s="37" t="inlineStr">
        <is>
          <t>선정 결과</t>
        </is>
      </c>
      <c r="B19" s="37" t="n"/>
      <c r="C19" s="37" t="n"/>
      <c r="D19" s="37" t="n"/>
      <c r="E19" s="37" t="n"/>
      <c r="F19" s="37" t="n"/>
      <c r="G19" s="37" t="n"/>
      <c r="H19" s="37" t="n"/>
      <c r="I19" s="37" t="n"/>
      <c r="J19" s="37" t="n"/>
      <c r="K19" s="37" t="n"/>
      <c r="L19" s="37" t="n"/>
      <c r="M19" s="37" t="n"/>
      <c r="N19" s="37" t="n"/>
      <c r="O19" s="37" t="n"/>
      <c r="P19" s="37" t="n"/>
      <c r="Q19" s="37" t="n"/>
    </row>
    <row r="20" ht="19" customHeight="1">
      <c r="A20" s="4" t="inlineStr">
        <is>
          <t>Top 1</t>
        </is>
      </c>
      <c r="B20" s="8" t="n"/>
      <c r="C20" s="117" t="inlineStr">
        <is>
          <t>선정 근거 (컨센서스와의 차이 중심, 2줄)</t>
        </is>
      </c>
      <c r="D20" s="40" t="n"/>
      <c r="E20" s="40" t="n"/>
      <c r="F20" s="40" t="n"/>
      <c r="G20" s="40" t="n"/>
      <c r="H20" s="40" t="n"/>
      <c r="I20" s="40" t="n"/>
      <c r="J20" s="40" t="n"/>
      <c r="K20" s="40" t="n"/>
      <c r="L20" s="40" t="n"/>
      <c r="M20" s="40" t="n"/>
      <c r="N20" s="40" t="n"/>
      <c r="O20" s="40" t="n"/>
      <c r="P20" s="40" t="n"/>
      <c r="Q20" s="9" t="n"/>
    </row>
    <row r="21" ht="19" customHeight="1">
      <c r="A21" s="4" t="inlineStr">
        <is>
          <t>Top 2</t>
        </is>
      </c>
      <c r="B21" s="8" t="n"/>
      <c r="C21" s="5" t="n"/>
      <c r="D21" s="40" t="n"/>
      <c r="E21" s="40" t="n"/>
      <c r="F21" s="40" t="n"/>
      <c r="G21" s="40" t="n"/>
      <c r="H21" s="40" t="n"/>
      <c r="I21" s="40" t="n"/>
      <c r="J21" s="40" t="n"/>
      <c r="K21" s="40" t="n"/>
      <c r="L21" s="40" t="n"/>
      <c r="M21" s="40" t="n"/>
      <c r="N21" s="40" t="n"/>
      <c r="O21" s="40" t="n"/>
      <c r="P21" s="40" t="n"/>
      <c r="Q21" s="9" t="n"/>
    </row>
    <row r="22" ht="19" customHeight="1">
      <c r="A22" s="4" t="inlineStr">
        <is>
          <t>Top 3</t>
        </is>
      </c>
      <c r="B22" s="8" t="n"/>
      <c r="C22" s="5" t="n"/>
      <c r="D22" s="40" t="n"/>
      <c r="E22" s="40" t="n"/>
      <c r="F22" s="40" t="n"/>
      <c r="G22" s="40" t="n"/>
      <c r="H22" s="40" t="n"/>
      <c r="I22" s="40" t="n"/>
      <c r="J22" s="40" t="n"/>
      <c r="K22" s="40" t="n"/>
      <c r="L22" s="40" t="n"/>
      <c r="M22" s="40" t="n"/>
      <c r="N22" s="40" t="n"/>
      <c r="O22" s="40" t="n"/>
      <c r="P22" s="40" t="n"/>
      <c r="Q22" s="9" t="n"/>
    </row>
    <row r="23" ht="19" customHeight="1">
      <c r="A23" s="4" t="inlineStr">
        <is>
          <t>탈락 1</t>
        </is>
      </c>
      <c r="B23" s="8" t="n"/>
      <c r="C23" s="117" t="inlineStr">
        <is>
          <t>탈락 사유 (해당 지표와 수치를 명시)</t>
        </is>
      </c>
      <c r="D23" s="40" t="n"/>
      <c r="E23" s="40" t="n"/>
      <c r="F23" s="40" t="n"/>
      <c r="G23" s="40" t="n"/>
      <c r="H23" s="40" t="n"/>
      <c r="I23" s="40" t="n"/>
      <c r="J23" s="40" t="n"/>
      <c r="K23" s="40" t="n"/>
      <c r="L23" s="40" t="n"/>
      <c r="M23" s="40" t="n"/>
      <c r="N23" s="40" t="n"/>
      <c r="O23" s="40" t="n"/>
      <c r="P23" s="40" t="n"/>
      <c r="Q23" s="9" t="n"/>
    </row>
    <row r="24" ht="19" customHeight="1">
      <c r="A24" s="4" t="inlineStr">
        <is>
          <t>탈락 2</t>
        </is>
      </c>
      <c r="B24" s="8" t="n"/>
      <c r="C24" s="5" t="n"/>
      <c r="D24" s="40" t="n"/>
      <c r="E24" s="40" t="n"/>
      <c r="F24" s="40" t="n"/>
      <c r="G24" s="40" t="n"/>
      <c r="H24" s="40" t="n"/>
      <c r="I24" s="40" t="n"/>
      <c r="J24" s="40" t="n"/>
      <c r="K24" s="40" t="n"/>
      <c r="L24" s="40" t="n"/>
      <c r="M24" s="40" t="n"/>
      <c r="N24" s="40" t="n"/>
      <c r="O24" s="40" t="n"/>
      <c r="P24" s="40" t="n"/>
      <c r="Q24" s="9" t="n"/>
    </row>
    <row r="25" ht="19" customHeight="1">
      <c r="A25" s="4" t="inlineStr">
        <is>
          <t>탈락 3</t>
        </is>
      </c>
      <c r="B25" s="8" t="n"/>
      <c r="C25" s="5" t="n"/>
      <c r="D25" s="40" t="n"/>
      <c r="E25" s="40" t="n"/>
      <c r="F25" s="40" t="n"/>
      <c r="G25" s="40" t="n"/>
      <c r="H25" s="40" t="n"/>
      <c r="I25" s="40" t="n"/>
      <c r="J25" s="40" t="n"/>
      <c r="K25" s="40" t="n"/>
      <c r="L25" s="40" t="n"/>
      <c r="M25" s="40" t="n"/>
      <c r="N25" s="40" t="n"/>
      <c r="O25" s="40" t="n"/>
      <c r="P25" s="40" t="n"/>
      <c r="Q25" s="9" t="n"/>
    </row>
    <row r="26" ht="19" customHeight="1">
      <c r="A26" s="4" t="inlineStr">
        <is>
          <t>탈락 4</t>
        </is>
      </c>
      <c r="B26" s="8" t="n"/>
      <c r="C26" s="5" t="n"/>
      <c r="D26" s="40" t="n"/>
      <c r="E26" s="40" t="n"/>
      <c r="F26" s="40" t="n"/>
      <c r="G26" s="40" t="n"/>
      <c r="H26" s="40" t="n"/>
      <c r="I26" s="40" t="n"/>
      <c r="J26" s="40" t="n"/>
      <c r="K26" s="40" t="n"/>
      <c r="L26" s="40" t="n"/>
      <c r="M26" s="40" t="n"/>
      <c r="N26" s="40" t="n"/>
      <c r="O26" s="40" t="n"/>
      <c r="P26" s="40" t="n"/>
      <c r="Q26" s="9" t="n"/>
    </row>
    <row r="27" ht="19" customHeight="1">
      <c r="A27" s="42" t="inlineStr">
        <is>
          <t>탈락 5</t>
        </is>
      </c>
      <c r="B27" s="43" t="n"/>
      <c r="C27" s="44" t="n"/>
      <c r="D27" s="45" t="n"/>
      <c r="E27" s="45" t="n"/>
      <c r="F27" s="45" t="n"/>
      <c r="G27" s="45" t="n"/>
      <c r="H27" s="45" t="n"/>
      <c r="I27" s="45" t="n"/>
      <c r="J27" s="45" t="n"/>
      <c r="K27" s="45" t="n"/>
      <c r="L27" s="45" t="n"/>
      <c r="M27" s="45" t="n"/>
      <c r="N27" s="45" t="n"/>
      <c r="O27" s="45" t="n"/>
      <c r="P27" s="45" t="n"/>
      <c r="Q27" s="46" t="n"/>
    </row>
  </sheetData>
  <mergeCells count="15">
    <mergeCell ref="C21:Q21"/>
    <mergeCell ref="E4:F4"/>
    <mergeCell ref="C20:Q20"/>
    <mergeCell ref="C25:Q25"/>
    <mergeCell ref="C24:Q24"/>
    <mergeCell ref="B4:C4"/>
    <mergeCell ref="B5:C5"/>
    <mergeCell ref="C27:Q27"/>
    <mergeCell ref="E5:F5"/>
    <mergeCell ref="K5:L5"/>
    <mergeCell ref="H5:I5"/>
    <mergeCell ref="C23:Q23"/>
    <mergeCell ref="H4:I4"/>
    <mergeCell ref="C22:Q22"/>
    <mergeCell ref="C26:Q26"/>
  </mergeCells>
  <dataValidations count="1">
    <dataValidation sqref="Q10:Q17" showDropDown="0" showInputMessage="0" showErrorMessage="0" allowBlank="1" type="list">
      <formula1>"Top1,Top2,Top3,보류,탈락"</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47"/>
  <sheetViews>
    <sheetView showGridLines="0" workbookViewId="0">
      <pane xSplit="1" ySplit="34" topLeftCell="B3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6" customWidth="1" min="2" max="2"/>
    <col width="8" customWidth="1" min="3" max="3"/>
    <col width="10" customWidth="1" min="4" max="4"/>
    <col width="11" customWidth="1" min="5" max="5"/>
    <col width="10" customWidth="1" min="6" max="6"/>
    <col width="11" customWidth="1" min="7" max="7"/>
    <col width="10" customWidth="1" min="8" max="8"/>
    <col width="12" customWidth="1" min="9" max="9"/>
    <col width="10" customWidth="1" min="10" max="10"/>
    <col width="9" customWidth="1" min="11" max="11"/>
    <col width="11" customWidth="1" min="12" max="12"/>
    <col width="22" customWidth="1" min="13" max="13"/>
    <col width="26" customWidth="1" min="14" max="14"/>
    <col width="34" customWidth="1" min="15" max="15"/>
    <col width="18" customWidth="1" min="16" max="16"/>
    <col width="9" customWidth="1" min="17" max="17"/>
    <col width="2" customWidth="1" min="18" max="18"/>
    <col width="12" customWidth="1" min="19" max="19"/>
  </cols>
  <sheetData>
    <row r="1" ht="22" customHeight="1">
      <c r="A1" s="78" t="inlineStr">
        <is>
          <t>소재·에너지</t>
        </is>
      </c>
    </row>
    <row r="2">
      <c r="A2" s="79" t="inlineStr">
        <is>
          <t>ICOK Fund 26-2  ·  담당 산업 스크리닝</t>
        </is>
      </c>
    </row>
    <row r="3" ht="3" customHeight="1">
      <c r="A3" s="80" t="n"/>
      <c r="B3" s="80" t="n"/>
      <c r="C3" s="80" t="n"/>
      <c r="D3" s="80" t="n"/>
      <c r="E3" s="80" t="n"/>
      <c r="F3" s="80" t="n"/>
      <c r="G3" s="80" t="n"/>
      <c r="H3" s="80" t="n"/>
      <c r="I3" s="118" t="n"/>
      <c r="J3" s="118" t="n"/>
      <c r="K3" s="118" t="n"/>
      <c r="L3" s="118" t="n"/>
      <c r="M3" s="80" t="n"/>
      <c r="N3" s="80" t="n"/>
      <c r="O3" s="80" t="n"/>
      <c r="P3" s="80" t="n"/>
      <c r="Q3" s="80" t="n"/>
    </row>
    <row r="4" ht="17" customHeight="1">
      <c r="A4" s="81" t="inlineStr">
        <is>
          <t>팀</t>
        </is>
      </c>
      <c r="B4" s="82" t="inlineStr">
        <is>
          <t>팀 2 · 중후장대·인프라</t>
        </is>
      </c>
      <c r="C4" s="9" t="n"/>
      <c r="D4" s="81" t="inlineStr">
        <is>
          <t>담당자</t>
        </is>
      </c>
      <c r="E4" s="82" t="inlineStr">
        <is>
          <t>권민재</t>
        </is>
      </c>
      <c r="F4" s="9" t="n"/>
      <c r="G4" s="81" t="inlineStr">
        <is>
          <t>제출일</t>
        </is>
      </c>
      <c r="H4" s="230" t="n">
        <v>46286</v>
      </c>
      <c r="I4" s="9" t="n"/>
    </row>
    <row r="5" ht="17" customHeight="1">
      <c r="A5" s="81" t="inlineStr">
        <is>
          <t>지수 비중</t>
        </is>
      </c>
      <c r="B5" s="82" t="inlineStr">
        <is>
          <t>3.66%</t>
        </is>
      </c>
      <c r="C5" s="9" t="n"/>
      <c r="D5" s="81" t="inlineStr">
        <is>
          <t>배정액</t>
        </is>
      </c>
      <c r="E5" s="82" t="inlineStr">
        <is>
          <t>1,024,046원</t>
        </is>
      </c>
      <c r="F5" s="9" t="n"/>
      <c r="G5" s="81" t="inlineStr">
        <is>
          <t>종목 수</t>
        </is>
      </c>
      <c r="H5" s="82" t="inlineStr">
        <is>
          <t>27</t>
        </is>
      </c>
      <c r="I5" s="9" t="n"/>
      <c r="J5" s="81" t="inlineStr">
        <is>
          <t>기준일</t>
        </is>
      </c>
      <c r="K5" s="82" t="inlineStr">
        <is>
          <t>2026-09-15</t>
        </is>
      </c>
      <c r="L5" s="9" t="n"/>
    </row>
    <row r="7" ht="15" customHeight="1">
      <c r="A7" s="120" t="inlineStr">
        <is>
          <t>27종목. 철강·화학·비철금속과 정유·상사·해운을 함께 본다. 공통 동인은 원자재 가격과 스프레드다.</t>
        </is>
      </c>
    </row>
    <row r="8">
      <c r="A8" s="79" t="inlineStr">
        <is>
          <t>음영 셀은 기입 완료. 흰색 셀만 작성한다.</t>
        </is>
      </c>
    </row>
    <row r="9">
      <c r="S9" s="121" t="inlineStr">
        <is>
          <t>계산기 (억원)</t>
        </is>
      </c>
    </row>
    <row r="10" ht="26" customHeight="1">
      <c r="A10" s="84" t="inlineStr">
        <is>
          <t>하위 테마</t>
        </is>
      </c>
      <c r="B10" s="84" t="inlineStr">
        <is>
          <t>기업명</t>
        </is>
      </c>
      <c r="C10" s="84" t="inlineStr">
        <is>
          <t>코드</t>
        </is>
      </c>
      <c r="D10" s="84" t="inlineStr">
        <is>
          <t>주가</t>
        </is>
      </c>
      <c r="E10" s="84" t="inlineStr">
        <is>
          <t>시가총액(조)</t>
        </is>
      </c>
      <c r="F10" s="84" t="inlineStr">
        <is>
          <t>지수 비중</t>
        </is>
      </c>
      <c r="G10" s="84" t="inlineStr">
        <is>
          <t>1주 / 팀예산</t>
        </is>
      </c>
      <c r="H10" s="84" t="inlineStr">
        <is>
          <t>매수 판정</t>
        </is>
      </c>
      <c r="I10" s="84" t="inlineStr">
        <is>
          <t>매출 CAGR(3Y)</t>
        </is>
      </c>
      <c r="J10" s="84" t="inlineStr">
        <is>
          <t>영업이익률</t>
        </is>
      </c>
      <c r="K10" s="84" t="inlineStr">
        <is>
          <t>ROE</t>
        </is>
      </c>
      <c r="L10" s="84" t="inlineStr">
        <is>
          <t>PER / PBR</t>
        </is>
      </c>
      <c r="M10" s="84" t="inlineStr">
        <is>
          <t>주요 제품</t>
        </is>
      </c>
      <c r="N10" s="84" t="inlineStr">
        <is>
          <t>시장 포지셔닝</t>
        </is>
      </c>
      <c r="O10" s="84" t="inlineStr">
        <is>
          <t>투자포인트 / 탈락 사유</t>
        </is>
      </c>
      <c r="P10" s="84" t="inlineStr">
        <is>
          <t>출처 · 기준일</t>
        </is>
      </c>
      <c r="Q10" s="84" t="inlineStr">
        <is>
          <t>판정</t>
        </is>
      </c>
      <c r="S10" s="122" t="inlineStr">
        <is>
          <t>FY2022</t>
        </is>
      </c>
      <c r="T10" s="122" t="inlineStr">
        <is>
          <t>FY2023</t>
        </is>
      </c>
      <c r="U10" s="122" t="inlineStr">
        <is>
          <t>FY2024</t>
        </is>
      </c>
      <c r="V10" s="122" t="inlineStr">
        <is>
          <t>FY2025</t>
        </is>
      </c>
    </row>
    <row r="11" ht="96" customHeight="1">
      <c r="A11" s="123" t="inlineStr">
        <is>
          <t>철강·비철금속</t>
        </is>
      </c>
      <c r="B11" s="87" t="inlineStr">
        <is>
          <t>POSCO홀딩스</t>
        </is>
      </c>
      <c r="C11" s="87" t="inlineStr">
        <is>
          <t>005490</t>
        </is>
      </c>
      <c r="D11" s="124" t="n">
        <v>332000</v>
      </c>
      <c r="E11" s="231" t="n">
        <v>26.308187</v>
      </c>
      <c r="F11" s="126" t="n">
        <v>0.004939488087684244</v>
      </c>
      <c r="G11" s="232" t="n">
        <v>0.07029578089313046</v>
      </c>
      <c r="H11" s="87" t="inlineStr">
        <is>
          <t>가능</t>
        </is>
      </c>
      <c r="I11" s="233">
        <f>IF(OR(S11="",V11=""),"",IFERROR((V11/S11)^(1/3)-1,""))</f>
        <v/>
      </c>
      <c r="J11" s="234" t="n">
        <v>2.64</v>
      </c>
      <c r="K11" s="234" t="n">
        <v>1.18</v>
      </c>
      <c r="L11" s="130" t="inlineStr">
        <is>
          <t>40.38 / 0.44</t>
        </is>
      </c>
      <c r="M11" s="131" t="inlineStr">
        <is>
          <t>열연·냉연·후판 등 탄소강 판재류, 스테인리스, 리튬·니켈 이차전지소재</t>
        </is>
      </c>
      <c r="N11" s="131" t="inlineStr">
        <is>
          <t>국내 조강생산 1위, 포항·광양 일관제철. 아르헨티나 염호·광석 리튬과 니켈로 소재 사업 확장</t>
        </is>
      </c>
      <c r="O11" s="5" t="inlineStr">
        <is>
          <t>매출이 3년간 연 6.6% 줄어 26종목 중 20위이고, 영업이익률 2.64%·ROE 1.18%로 지표를 채운 15종목 중 7위와 8위다. PBR 0.44배는 세 번째로 낮지만 PER 40.38배여서 자산이 아니라 이익이 사라진 상태다. 지수 비중 0.49%로 시트에서 가장 커 미편입하면 액티브 −0.49%p가 된다.</t>
        </is>
      </c>
      <c r="P11" s="93" t="inlineStr">
        <is>
          <t>전 지표 FY2025 기준 · 매출 DART 사업보고서(연결) · 영업이익률(기타영업손익 제외)·ROE dataguide · PER/PBR 네이버 증권 · 주가·시총 2026-09-15 종가</t>
        </is>
      </c>
      <c r="Q11" s="132" t="inlineStr">
        <is>
          <t>보류</t>
        </is>
      </c>
      <c r="S11" s="133" t="n">
        <v>847502</v>
      </c>
      <c r="T11" s="133" t="n">
        <v>771271</v>
      </c>
      <c r="U11" s="133" t="n">
        <v>726881</v>
      </c>
      <c r="V11" s="133" t="n">
        <v>690948</v>
      </c>
    </row>
    <row r="12" ht="96" customHeight="1">
      <c r="A12" s="134" t="inlineStr">
        <is>
          <t>정유·석유화학</t>
        </is>
      </c>
      <c r="B12" s="87" t="inlineStr">
        <is>
          <t>SK이노베이션</t>
        </is>
      </c>
      <c r="C12" s="87" t="inlineStr">
        <is>
          <t>096770</t>
        </is>
      </c>
      <c r="D12" s="124" t="n">
        <v>141700</v>
      </c>
      <c r="E12" s="231" t="n">
        <v>23.95478</v>
      </c>
      <c r="F12" s="126" t="n">
        <v>0.004497624653994468</v>
      </c>
      <c r="G12" s="232" t="n">
        <v>0.0300027474474596</v>
      </c>
      <c r="H12" s="87" t="inlineStr">
        <is>
          <t>가능</t>
        </is>
      </c>
      <c r="I12" s="235">
        <f>IF(OR(S12="",V12=""),"",IFERROR((V12/S12)^(1/3)-1,""))</f>
        <v/>
      </c>
      <c r="J12" s="236" t="n">
        <v>-0.34</v>
      </c>
      <c r="K12" s="236" t="n">
        <v>-14.42</v>
      </c>
      <c r="L12" s="130" t="inlineStr">
        <is>
          <t>N/A / 1.07</t>
        </is>
      </c>
      <c r="M12" s="137" t="inlineStr">
        <is>
          <t>휘발유·경유 등 석유제품, 납사분해 화학제품, 윤활기유, SK온 이차전지</t>
        </is>
      </c>
      <c r="N12" s="137" t="inlineStr">
        <is>
          <t>국내 정제능력 1위 SK에너지 보유. SK온 합병으로 배터리 손익이 연결 실적을 좌우</t>
        </is>
      </c>
      <c r="O12" s="25" t="inlineStr">
        <is>
          <t>모회사인 지주 SK가 이 회사 지분 51.7%를 보유해 2팀 지주 시트와 함께 담으면 노출이 겹친다. 매출은 3년간 연 0.9% 늘어 26종목 중 6위지만 ROE −14.42%로 15종목 중 13위이고 영업이익률도 −0.34%다. 이 영업이익률은 기타영업손익 제외 기준이며 DART 공시로는 +0.56%다. PBR 1.07배로 적자 7종목 중 SKC 다음으로 비싸다.</t>
        </is>
      </c>
      <c r="P12" s="93" t="inlineStr">
        <is>
          <t>전 지표 FY2025 기준 · 매출 DART 사업보고서(연결) · 영업이익률(기타영업손익 제외)·ROE dataguide · PER/PBR 네이버 증권 · 주가·시총 2026-09-15 종가 · 지분율 지주 시트 배포본</t>
        </is>
      </c>
      <c r="Q12" s="138" t="inlineStr">
        <is>
          <t>보류</t>
        </is>
      </c>
      <c r="S12" s="139" t="n">
        <v>780569</v>
      </c>
      <c r="T12" s="139" t="n">
        <v>767557</v>
      </c>
      <c r="U12" s="139" t="n">
        <v>742696</v>
      </c>
      <c r="V12" s="139" t="n">
        <v>802961</v>
      </c>
    </row>
    <row r="13" ht="96" customHeight="1">
      <c r="A13" s="123" t="inlineStr">
        <is>
          <t>철강·비철금속</t>
        </is>
      </c>
      <c r="B13" s="87" t="inlineStr">
        <is>
          <t>고려아연</t>
        </is>
      </c>
      <c r="C13" s="87" t="inlineStr">
        <is>
          <t>010130</t>
        </is>
      </c>
      <c r="D13" s="124" t="n">
        <v>1138000</v>
      </c>
      <c r="E13" s="231" t="n">
        <v>23.753439</v>
      </c>
      <c r="F13" s="126" t="n">
        <v>0.004459821917110226</v>
      </c>
      <c r="G13" s="232" t="n">
        <v>0.2409536104107906</v>
      </c>
      <c r="H13" s="87" t="inlineStr">
        <is>
          <t>가능</t>
        </is>
      </c>
      <c r="I13" s="233">
        <f>IF(OR(S13="",V13=""),"",IFERROR((V13/S13)^(1/3)-1,""))</f>
        <v/>
      </c>
      <c r="J13" s="236" t="n">
        <v>7.43</v>
      </c>
      <c r="K13" s="236" t="n">
        <v>8.66</v>
      </c>
      <c r="L13" s="140" t="inlineStr">
        <is>
          <t>29.16 / 2.13</t>
        </is>
      </c>
      <c r="M13" s="131" t="inlineStr">
        <is>
          <t>아연·연(납), 금·은, 동, 황산 등 제련 부산물</t>
        </is>
      </c>
      <c r="N13" s="131" t="inlineStr">
        <is>
          <t>온산제련소 기반 단일 제련소 세계 최대급 아연 생산. 영풍·MBK와 경영권 분쟁 진행</t>
        </is>
      </c>
      <c r="O13" s="5" t="inlineStr">
        <is>
          <t>1주 1,138,000원이 팀 예산의 24.1%다. 지수 비중 0.45% 종목에 24.1%를 넣으면 액티브 +23.6%p로 27종목 중 가장 큰 단일 베팅이 된다. 매출 CAGR 13.9%로 26종목 중 2위, 영업이익률 7.43%로 15종목 중 3위지만 PBR 2.13배로 14위이고 영풍(36행)과의 분쟁이 남아 있다.</t>
        </is>
      </c>
      <c r="P13" s="93" t="inlineStr">
        <is>
          <t>전 지표 FY2025 기준 · 매출 DART 사업보고서(연결) · 영업이익률(기타영업손익 제외)·ROE dataguide · PER/PBR 네이버 증권 · 주가·시총 2026-09-15 종가</t>
        </is>
      </c>
      <c r="Q13" s="132" t="inlineStr">
        <is>
          <t>보류</t>
        </is>
      </c>
      <c r="S13" s="133" t="n">
        <v>112193</v>
      </c>
      <c r="T13" s="133" t="n">
        <v>97045</v>
      </c>
      <c r="U13" s="133" t="n">
        <v>120529</v>
      </c>
      <c r="V13" s="133" t="n">
        <v>165878</v>
      </c>
    </row>
    <row r="14" ht="96" customHeight="1">
      <c r="A14" s="134" t="inlineStr">
        <is>
          <t>물류·상사</t>
        </is>
      </c>
      <c r="B14" s="87" t="inlineStr">
        <is>
          <t>HMM</t>
        </is>
      </c>
      <c r="C14" s="87" t="inlineStr">
        <is>
          <t>011200</t>
        </is>
      </c>
      <c r="D14" s="124" t="n">
        <v>20650</v>
      </c>
      <c r="E14" s="231" t="n">
        <v>19.477864</v>
      </c>
      <c r="F14" s="126" t="n">
        <v>0.003657062236996178</v>
      </c>
      <c r="G14" s="232" t="n">
        <v>0.004372312877840795</v>
      </c>
      <c r="H14" s="87" t="inlineStr">
        <is>
          <t>가능</t>
        </is>
      </c>
      <c r="I14" s="235">
        <f>IF(OR(S14="",V14=""),"",IFERROR((V14/S14)^(1/3)-1,""))</f>
        <v/>
      </c>
      <c r="J14" s="234" t="n">
        <v>13.42</v>
      </c>
      <c r="K14" s="234" t="n">
        <v>6.9</v>
      </c>
      <c r="L14" s="130" t="inlineStr">
        <is>
          <t>10.62 / 0.74</t>
        </is>
      </c>
      <c r="M14" s="137" t="inlineStr">
        <is>
          <t>컨테이너 해상운송, 벌크(건화물·탱커) 운송</t>
        </is>
      </c>
      <c r="N14" s="137" t="inlineStr">
        <is>
          <t>국내 1위 컨테이너 선사. 얼라이언스 소속으로 미주·구주 노선 운영. 대규모 순현금 보유</t>
        </is>
      </c>
      <c r="O14" s="25" t="inlineStr">
        <is>
          <t>영업이익률 13.42%로 지표를 채운 15종목 중 1위인데 매출은 3년간 연 16.3% 줄어 26종목 중 최하위다. FY2022가 운임 피크였던 결과이며 이익의 원천이 운임 사이클에 있다는 뜻이다. PER 10.62배·PBR 0.74배이나 시가총액이 FY25 매출의 1.79배로 26종목 중 세 번째로 높다.</t>
        </is>
      </c>
      <c r="P14" s="93" t="inlineStr">
        <is>
          <t>전 지표 FY2025 기준 · 매출 DART 사업보고서(연결) · 영업이익률(기타영업손익 제외)·ROE dataguide · PER/PBR 네이버 증권 · 주가·시총 2026-09-15 종가</t>
        </is>
      </c>
      <c r="Q14" s="138" t="inlineStr">
        <is>
          <t>탈락</t>
        </is>
      </c>
      <c r="S14" s="133" t="n">
        <v>185827</v>
      </c>
      <c r="T14" s="133" t="n">
        <v>84009</v>
      </c>
      <c r="U14" s="133" t="n">
        <v>117002</v>
      </c>
      <c r="V14" s="133" t="n">
        <v>108914</v>
      </c>
    </row>
    <row r="15" ht="96" customHeight="1">
      <c r="A15" s="123" t="inlineStr">
        <is>
          <t>정유·석유화학</t>
        </is>
      </c>
      <c r="B15" s="87" t="inlineStr">
        <is>
          <t>LG화학</t>
        </is>
      </c>
      <c r="C15" s="87" t="inlineStr">
        <is>
          <t>051910</t>
        </is>
      </c>
      <c r="D15" s="124" t="n">
        <v>271500</v>
      </c>
      <c r="E15" s="231" t="n">
        <v>19.165821</v>
      </c>
      <c r="F15" s="126" t="n">
        <v>0.003598474669508337</v>
      </c>
      <c r="G15" s="232" t="n">
        <v>0.05748585696531602</v>
      </c>
      <c r="H15" s="87" t="inlineStr">
        <is>
          <t>가능</t>
        </is>
      </c>
      <c r="I15" s="233">
        <f>IF(OR(S15="",V15=""),"",IFERROR((V15/S15)^(1/3)-1,""))</f>
        <v/>
      </c>
      <c r="J15" s="236" t="n">
        <v>-1.01</v>
      </c>
      <c r="K15" s="236" t="n">
        <v>-5.5</v>
      </c>
      <c r="L15" s="140" t="inlineStr">
        <is>
          <t>N/A / 0.64</t>
        </is>
      </c>
      <c r="M15" s="131" t="inlineStr">
        <is>
          <t>석유화학(NCC·ABS·PVC), 첨단소재(양극재), 생명과학, 자회사 LG에너지솔루션</t>
        </is>
      </c>
      <c r="N15" s="131" t="inlineStr">
        <is>
          <t>국내 최대 화학사. 연결 실적 상당부분이 LG에너지솔루션. 석유화학 본업은 중국 증설로 스프레드 압박</t>
        </is>
      </c>
      <c r="O15" s="5" t="inlineStr">
        <is>
          <t>영업이익률 −1.01%·ROE −5.50%로 지표를 채운 15종목 중 둘 다 11위다. 이 영업이익률은 기타영업손익을 제외한 기준이며 DART 공시 기준으로는 +2.57%로 영업은 흑자다. 석유화학 본업이 중국 증설로 스프레드 압박을 받는 가운데 연결 실적의 상당 부분이 LG에너지솔루션에서 나온다. PBR 0.64배이고 1주 271,500원이 팀 예산의 5.7%다.</t>
        </is>
      </c>
      <c r="P15" s="93" t="inlineStr">
        <is>
          <t>전 지표 FY2025 기준 · 매출 DART 사업보고서(연결) · 영업이익률(기타영업손익 제외)·ROE dataguide · PER/PBR 네이버 증권 · 주가·시총 2026-09-15 종가</t>
        </is>
      </c>
      <c r="Q15" s="132" t="inlineStr">
        <is>
          <t>보류</t>
        </is>
      </c>
      <c r="S15" s="139" t="n">
        <v>509833</v>
      </c>
      <c r="T15" s="139" t="n">
        <v>550437</v>
      </c>
      <c r="U15" s="139" t="n">
        <v>486998</v>
      </c>
      <c r="V15" s="139" t="n">
        <v>459322</v>
      </c>
    </row>
    <row r="16" ht="96" customHeight="1">
      <c r="A16" s="134" t="inlineStr">
        <is>
          <t>정유·석유화학</t>
        </is>
      </c>
      <c r="B16" s="87" t="inlineStr">
        <is>
          <t>S-Oil</t>
        </is>
      </c>
      <c r="C16" s="87" t="inlineStr">
        <is>
          <t>010950</t>
        </is>
      </c>
      <c r="D16" s="124" t="n">
        <v>148700</v>
      </c>
      <c r="E16" s="231" t="n">
        <v>16.741061</v>
      </c>
      <c r="F16" s="126" t="n">
        <v>0.003143214368390162</v>
      </c>
      <c r="G16" s="232" t="n">
        <v>0.0314848874060497</v>
      </c>
      <c r="H16" s="87" t="inlineStr">
        <is>
          <t>가능</t>
        </is>
      </c>
      <c r="I16" s="235">
        <f>IF(OR(S16="",V16=""),"",IFERROR((V16/S16)^(1/3)-1,""))</f>
        <v/>
      </c>
      <c r="J16" s="234" t="n">
        <v>0.6899999999999999</v>
      </c>
      <c r="K16" s="234" t="n">
        <v>2.01</v>
      </c>
      <c r="L16" s="141" t="inlineStr">
        <is>
          <t>100.29 / 1.99</t>
        </is>
      </c>
      <c r="M16" s="137" t="inlineStr">
        <is>
          <t>휘발유·경유·항공유, 윤활기유, 파라자일렌·벤젠 등 아로마틱</t>
        </is>
      </c>
      <c r="N16" s="137" t="inlineStr">
        <is>
          <t>아람코 자회사. 온산 단일 콤플렉스, 고도화설비 비중 높음. 샤힌 프로젝트 석유화학 투자 진행</t>
        </is>
      </c>
      <c r="O16" s="25" t="inlineStr">
        <is>
          <t>매출이 3년간 연 6.9% 줄어 26종목 중 21위이고 영업이익률 0.69%로 15종목 중 9위다. PBR 1.99배는 SKC·고려아연 다음으로 높은데 ROE는 2.01%, PER은 100.29배다. 자기자본이익률 2%인 회사에 장부가의 2배를 주는 근거가 샤힌 프로젝트 가동 시점에 있는지 확인한다.</t>
        </is>
      </c>
      <c r="P16" s="93" t="inlineStr">
        <is>
          <t>전 지표 FY2025 기준 · 매출 DART 사업보고서(연결) · 영업이익률(기타영업손익 제외)·ROE dataguide · PER/PBR 네이버 증권 · 주가·시총 2026-09-15 종가</t>
        </is>
      </c>
      <c r="Q16" s="138" t="inlineStr">
        <is>
          <t>보류</t>
        </is>
      </c>
      <c r="S16" s="139" t="n">
        <v>424460</v>
      </c>
      <c r="T16" s="139" t="n">
        <v>357266</v>
      </c>
      <c r="U16" s="139" t="n">
        <v>366370</v>
      </c>
      <c r="V16" s="139" t="n">
        <v>342469</v>
      </c>
    </row>
    <row r="17" ht="96" customHeight="1">
      <c r="A17" s="123" t="inlineStr">
        <is>
          <t>물류·상사</t>
        </is>
      </c>
      <c r="B17" s="87" t="inlineStr">
        <is>
          <t>대한항공</t>
        </is>
      </c>
      <c r="C17" s="87" t="inlineStr">
        <is>
          <t>003490</t>
        </is>
      </c>
      <c r="D17" s="124" t="n">
        <v>29350</v>
      </c>
      <c r="E17" s="231" t="n">
        <v>10.807275</v>
      </c>
      <c r="F17" s="126" t="n">
        <v>0.0020291176325768</v>
      </c>
      <c r="G17" s="232" t="n">
        <v>0.006214401112088491</v>
      </c>
      <c r="H17" s="87" t="inlineStr">
        <is>
          <t>가능</t>
        </is>
      </c>
      <c r="I17" s="233">
        <f>IF(OR(S17="",V17=""),"",IFERROR((V17/S17)^(1/3)-1,""))</f>
        <v/>
      </c>
      <c r="J17" s="236" t="n">
        <v>4.42</v>
      </c>
      <c r="K17" s="236" t="n">
        <v>7.28</v>
      </c>
      <c r="L17" s="140" t="inlineStr">
        <is>
          <t>13.93 / 0.99</t>
        </is>
      </c>
      <c r="M17" s="131" t="inlineStr">
        <is>
          <t>국제·국내 여객운송, 항공화물, 항공우주(MRO·부품)</t>
        </is>
      </c>
      <c r="N17" s="131" t="inlineStr">
        <is>
          <t>국내 1위 국적항공사. 아시아나항공 인수 통합 진행. 화물 비중이 글로벌 경쟁사 대비 높음</t>
        </is>
      </c>
      <c r="O17" s="5" t="inlineStr">
        <is>
          <t>매출 CAGR 21.4%로 26종목 중 1위지만 아시아나 연결 편입 효과가 들어 있다. 영업이익률 4.42%·ROE 7.28%로 지표를 채운 15종목 중 4위와 3위이고 PER 13.93배·PBR 0.99배다. 1주 29,350원이 팀 예산의 0.6%로 편입 제약이 없다.</t>
        </is>
      </c>
      <c r="P17" s="93" t="inlineStr">
        <is>
          <t>전 지표 FY2025 기준 · 매출 DART 사업보고서(연결) · 영업이익률(기타영업손익 제외)·ROE dataguide · PER/PBR 네이버 증권 · 주가·시총 2026-09-15 종가</t>
        </is>
      </c>
      <c r="Q17" s="132" t="inlineStr">
        <is>
          <t>보류</t>
        </is>
      </c>
      <c r="S17" s="139" t="n">
        <v>140960</v>
      </c>
      <c r="T17" s="139" t="n">
        <v>161117</v>
      </c>
      <c r="U17" s="139" t="n">
        <v>178707</v>
      </c>
      <c r="V17" s="139" t="n">
        <v>252255</v>
      </c>
    </row>
    <row r="18" ht="96" customHeight="1">
      <c r="A18" s="134" t="inlineStr">
        <is>
          <t>물류·상사</t>
        </is>
      </c>
      <c r="B18" s="87" t="inlineStr">
        <is>
          <t>포스코인터내셔널</t>
        </is>
      </c>
      <c r="C18" s="87" t="inlineStr">
        <is>
          <t>047050</t>
        </is>
      </c>
      <c r="D18" s="124" t="n">
        <v>54900</v>
      </c>
      <c r="E18" s="231" t="n">
        <v>9.658161</v>
      </c>
      <c r="F18" s="126" t="n">
        <v>0.001813365976470995</v>
      </c>
      <c r="G18" s="232" t="n">
        <v>0.01162421196094236</v>
      </c>
      <c r="H18" s="87" t="inlineStr">
        <is>
          <t>가능</t>
        </is>
      </c>
      <c r="I18" s="235">
        <f>IF(OR(S18="",V18=""),"",IFERROR((V18/S18)^(1/3)-1,""))</f>
        <v/>
      </c>
      <c r="J18" s="234" t="n">
        <v>3.6</v>
      </c>
      <c r="K18" s="234" t="n">
        <v>9.27</v>
      </c>
      <c r="L18" s="141" t="inlineStr">
        <is>
          <t>16.56 / 1.47</t>
        </is>
      </c>
      <c r="M18" s="137" t="inlineStr">
        <is>
          <t>철강·식량 트레이딩, 미얀마 가스전, 친환경차 구동모터코어</t>
        </is>
      </c>
      <c r="N18" s="137" t="inlineStr">
        <is>
          <t>POSCO그룹 종합상사. 미얀마 가스전이 이익의 핵심 축. 모터코어로 전동화 부품 확대</t>
        </is>
      </c>
      <c r="O18" s="25" t="inlineStr">
        <is>
          <t>ROE 9.27%로 지표를 채운 15종목 중 1위이고 영업이익률 3.60%로 6위다. 매출은 3년간 연 5.2% 줄었으나 이익의 축이 트레이딩 마진이 아니라 미얀마 가스전과 미국산 중장기 LNG여서 원자재 스프레드와 동행하지 않는다. 다만 PBR 1.47배로 15종목 중 12위여서 그 차별성이 이미 값에 반영돼 있다.</t>
        </is>
      </c>
      <c r="P18" s="93" t="inlineStr">
        <is>
          <t>전 지표 FY2025 기준 · 매출 DART 사업보고서(연결) · 영업이익률(기타영업손익 제외)·ROE dataguide · PER/PBR 네이버 증권 · 주가·시총 2026-09-15 종가</t>
        </is>
      </c>
      <c r="Q18" s="142" t="inlineStr">
        <is>
          <t>Top1</t>
        </is>
      </c>
      <c r="S18" s="139" t="n">
        <v>379896</v>
      </c>
      <c r="T18" s="139" t="n">
        <v>330182</v>
      </c>
      <c r="U18" s="139" t="n">
        <v>322610</v>
      </c>
      <c r="V18" s="139" t="n">
        <v>323736</v>
      </c>
    </row>
    <row r="19" ht="96" customHeight="1">
      <c r="A19" s="123" t="inlineStr">
        <is>
          <t>스페셜티·에너지전환 소재</t>
        </is>
      </c>
      <c r="B19" s="87" t="inlineStr">
        <is>
          <t>한화솔루션</t>
        </is>
      </c>
      <c r="C19" s="87" t="inlineStr">
        <is>
          <t>009830</t>
        </is>
      </c>
      <c r="D19" s="124" t="n">
        <v>28550</v>
      </c>
      <c r="E19" s="231" t="n">
        <v>6.420682</v>
      </c>
      <c r="F19" s="126" t="n">
        <v>0.001205513791345966</v>
      </c>
      <c r="G19" s="232" t="n">
        <v>0.006045013688249622</v>
      </c>
      <c r="H19" s="87" t="inlineStr">
        <is>
          <t>가능</t>
        </is>
      </c>
      <c r="I19" s="233">
        <f>IF(OR(S19="",V19=""),"",IFERROR((V19/S19)^(1/3)-1,""))</f>
        <v/>
      </c>
      <c r="J19" s="236" t="n">
        <v>-2.74</v>
      </c>
      <c r="K19" s="236" t="n">
        <v>-7.01</v>
      </c>
      <c r="L19" s="130" t="inlineStr">
        <is>
          <t>N/A / 0.59</t>
        </is>
      </c>
      <c r="M19" s="143" t="inlineStr">
        <is>
          <t>태양광 셀·모듈(한화큐셀), PVC·가성소다 등 케미칼, 첨단소재</t>
        </is>
      </c>
      <c r="N19" s="131" t="inlineStr">
        <is>
          <t>미국 주택·상업용 태양광 모듈 점유 상위. IRA AMPC 세액공제가 손익에 직접 반영</t>
        </is>
      </c>
      <c r="O19" s="5" t="inlineStr">
        <is>
          <t>한화가 이 회사 지분 36.2%를 보유해 지주를 편입하면 노출이 중복된다. 영업이익률 −2.74%·ROE −7.01%로 지표를 채운 15종목 중 13위와 12위이고 FY2025까지 적자다. 매출은 3년간 연 0.5% 늘어 매출이 증가한 8개 종목에 든다.</t>
        </is>
      </c>
      <c r="P19" s="93" t="inlineStr">
        <is>
          <t>전 지표 FY2025 기준 · 매출 DART 사업보고서(연결) · 영업이익률(기타영업손익 제외)·ROE dataguide · PER/PBR 네이버 증권 · 주가·시총 2026-09-15 종가 · 지분율 지주 시트 배포본</t>
        </is>
      </c>
      <c r="Q19" s="132" t="inlineStr">
        <is>
          <t>탈락</t>
        </is>
      </c>
      <c r="S19" s="139" t="n">
        <v>131308</v>
      </c>
      <c r="T19" s="139" t="n">
        <v>130785</v>
      </c>
      <c r="U19" s="139" t="n">
        <v>123940</v>
      </c>
      <c r="V19" s="139" t="n">
        <v>133331</v>
      </c>
    </row>
    <row r="20" ht="96" customHeight="1">
      <c r="A20" s="134" t="inlineStr">
        <is>
          <t>철강·비철금속</t>
        </is>
      </c>
      <c r="B20" s="87" t="inlineStr">
        <is>
          <t>현대제철</t>
        </is>
      </c>
      <c r="C20" s="87" t="inlineStr">
        <is>
          <t>004020</t>
        </is>
      </c>
      <c r="D20" s="124" t="n">
        <v>35150</v>
      </c>
      <c r="E20" s="231" t="n">
        <v>4.690619</v>
      </c>
      <c r="F20" s="126" t="n">
        <v>0.0008806861785787587</v>
      </c>
      <c r="G20" s="232" t="n">
        <v>0.007442459934920288</v>
      </c>
      <c r="H20" s="87" t="inlineStr">
        <is>
          <t>가능</t>
        </is>
      </c>
      <c r="I20" s="235">
        <f>IF(OR(S20="",V20=""),"",IFERROR((V20/S20)^(1/3)-1,""))</f>
        <v/>
      </c>
      <c r="J20" s="234" t="n">
        <v>0.96</v>
      </c>
      <c r="K20" s="234" t="n">
        <v>-0.04</v>
      </c>
      <c r="L20" s="141" t="inlineStr">
        <is>
          <t>N/A / 0.23</t>
        </is>
      </c>
      <c r="M20" s="137" t="inlineStr">
        <is>
          <t>열연·냉연, 후판, 철근·형강 등 봉형강</t>
        </is>
      </c>
      <c r="N20" s="137" t="inlineStr">
        <is>
          <t>국내 2위 고로사. 현대차그룹향 자동차강판 공급. 건설 봉형강 수요 민감. 미국 전기로 제철소 투자</t>
        </is>
      </c>
      <c r="O20" s="25" t="inlineStr">
        <is>
          <t>영업이익률 0.96%·ROE −0.04%로 자기자본이 이익을 내지 못하고 있다. PBR 0.23배는 지표를 채운 15종목 중 두 번째로 낮지만 매출이 3년간 연 6.0% 줄어 저PBR이 회복 근거가 되지 못한다. 미국 전기로 제철소 투자의 회수 시점이 확인 대상이다.</t>
        </is>
      </c>
      <c r="P20" s="93" t="inlineStr">
        <is>
          <t>전 지표 FY2025 기준 · 매출 DART 사업보고서(연결) · 영업이익률(기타영업손익 제외)·ROE dataguide · PER/PBR 네이버 증권 · 주가·시총 2026-09-15 종가</t>
        </is>
      </c>
      <c r="Q20" s="138" t="inlineStr">
        <is>
          <t>탈락</t>
        </is>
      </c>
      <c r="S20" s="139" t="n">
        <v>273406</v>
      </c>
      <c r="T20" s="139" t="n">
        <v>259147</v>
      </c>
      <c r="U20" s="139" t="n">
        <v>232261</v>
      </c>
      <c r="V20" s="144" t="n">
        <v>227332</v>
      </c>
    </row>
    <row r="21" ht="96" customHeight="1">
      <c r="A21" s="123" t="inlineStr">
        <is>
          <t>스페셜티·에너지전환 소재</t>
        </is>
      </c>
      <c r="B21" s="87" t="inlineStr">
        <is>
          <t>SKC</t>
        </is>
      </c>
      <c r="C21" s="87" t="inlineStr">
        <is>
          <t>011790</t>
        </is>
      </c>
      <c r="D21" s="124" t="n">
        <v>87300</v>
      </c>
      <c r="E21" s="231" t="n">
        <v>4.329931</v>
      </c>
      <c r="F21" s="126" t="n">
        <v>0.000812965279401227</v>
      </c>
      <c r="G21" s="232" t="n">
        <v>0.01848440262641653</v>
      </c>
      <c r="H21" s="87" t="inlineStr">
        <is>
          <t>가능</t>
        </is>
      </c>
      <c r="I21" s="233">
        <f>IF(OR(S21="",V21=""),"",IFERROR((V21/S21)^(1/3)-1,""))</f>
        <v/>
      </c>
      <c r="J21" s="236" t="n">
        <v>-16.58</v>
      </c>
      <c r="K21" s="236" t="n">
        <v>-73.28</v>
      </c>
      <c r="L21" s="140" t="inlineStr">
        <is>
          <t>N/A / 3.60(비지배지분</t>
        </is>
      </c>
      <c r="M21" s="131" t="inlineStr">
        <is>
          <t>이차전지용 동박(SK넥실리스), 반도체 글라스기판, 화학(PG·PO)</t>
        </is>
      </c>
      <c r="N21" s="131" t="inlineStr">
        <is>
          <t>동박 글로벌 상위권. 반도체 글라스기판은 상업화 추진 단계로 매출 기여 제한적</t>
        </is>
      </c>
      <c r="O21" s="5" t="inlineStr">
        <is>
          <t>영업이익률 −16.58%·ROE −73.28%로 지표를 채운 15종목 중 둘 다 최하위이고 매출도 3년간 연 8.3% 줄어 26종목 중 22위다. 그런데 PBR 3.60배로 15종목 중 가장 높다. 값의 근거가 현재 이익이 아니라 동박·유리기판의 미래 이익이므로 상업화 시점이 논지를 가른다.</t>
        </is>
      </c>
      <c r="P21" s="93" t="inlineStr">
        <is>
          <t>전 지표 FY2025 기준 · 매출 DART 사업보고서(연결) · 영업이익률(기타영업손익 제외)·ROE dataguide · PER/PBR 네이버 증권 · 주가·시총 2026-09-15 종가</t>
        </is>
      </c>
      <c r="Q21" s="132" t="inlineStr">
        <is>
          <t>탈락</t>
        </is>
      </c>
      <c r="S21" s="139" t="n">
        <v>23867</v>
      </c>
      <c r="T21" s="139" t="n">
        <v>14921</v>
      </c>
      <c r="U21" s="139" t="n">
        <v>17179</v>
      </c>
      <c r="V21" s="139" t="n">
        <v>18400</v>
      </c>
    </row>
    <row r="22" ht="96" customHeight="1">
      <c r="A22" s="134" t="inlineStr">
        <is>
          <t>스페셜티·에너지전환 소재</t>
        </is>
      </c>
      <c r="B22" s="87" t="inlineStr">
        <is>
          <t>OCI홀딩스</t>
        </is>
      </c>
      <c r="C22" s="87" t="inlineStr">
        <is>
          <t>010060</t>
        </is>
      </c>
      <c r="D22" s="124" t="n">
        <v>203500</v>
      </c>
      <c r="E22" s="231" t="n">
        <v>3.799392</v>
      </c>
      <c r="F22" s="126" t="n">
        <v>0.00071335404163133</v>
      </c>
      <c r="G22" s="232" t="n">
        <v>0.04308792593901219</v>
      </c>
      <c r="H22" s="87" t="inlineStr">
        <is>
          <t>가능</t>
        </is>
      </c>
      <c r="I22" s="235">
        <f>IF(OR(S22="",V22=""),"",IFERROR((V22/S22)^(1/3)-1,""))</f>
        <v/>
      </c>
      <c r="J22" s="234" t="n">
        <v>-1.71</v>
      </c>
      <c r="K22" s="234" t="n">
        <v>-2.27</v>
      </c>
      <c r="L22" s="141" t="inlineStr">
        <is>
          <t>N/A / 0.96</t>
        </is>
      </c>
      <c r="M22" s="137" t="inlineStr">
        <is>
          <t>태양광용 폴리실리콘, 반도체용 폴리실리콘, 카본케미칼</t>
        </is>
      </c>
      <c r="N22" s="137" t="inlineStr">
        <is>
          <t>말레이시아 생산 기반 비중국 폴리실리콘 공급자. 중국산 배제 통상정책과 직접 연동</t>
        </is>
      </c>
      <c r="O22" s="25" t="inlineStr">
        <is>
          <t>FY2022를 인적분할 재작성 기준으로 맞추면 매출 CAGR은 +6.9%로 26종목 중 4위다. 영업이익률 −1.71%·ROE −2.27%로 적자이나 PBR 0.96배이며, 말레이시아 생산 기반이라 비중국 폴리실리콘 공급자로 분류되어 중국산 배제 통상정책의 반대편에 선다. 2029년 CAPA 7만톤 확대가 확인 시점이다.</t>
        </is>
      </c>
      <c r="P22" s="93" t="inlineStr">
        <is>
          <t>전 지표 FY2025 기준 · 매출 DART 사업보고서(연결) · 영업이익률(기타영업손익 제외)·ROE dataguide · PER/PBR 네이버 증권 · 주가·시총 2026-09-15 종가</t>
        </is>
      </c>
      <c r="Q22" s="142" t="inlineStr">
        <is>
          <t>Top2</t>
        </is>
      </c>
      <c r="S22" s="139" t="n">
        <v>27689</v>
      </c>
      <c r="T22" s="139" t="n">
        <v>26497</v>
      </c>
      <c r="U22" s="139" t="n">
        <v>35774</v>
      </c>
      <c r="V22" s="139" t="n">
        <v>33801</v>
      </c>
    </row>
    <row r="23" ht="96" customHeight="1">
      <c r="A23" s="123" t="inlineStr">
        <is>
          <t>정유·석유화학</t>
        </is>
      </c>
      <c r="B23" s="87" t="inlineStr">
        <is>
          <t>금호석유화학</t>
        </is>
      </c>
      <c r="C23" s="87" t="inlineStr">
        <is>
          <t>011780</t>
        </is>
      </c>
      <c r="D23" s="124" t="n">
        <v>122600</v>
      </c>
      <c r="E23" s="231" t="n">
        <v>3.084288</v>
      </c>
      <c r="F23" s="126" t="n">
        <v>0.000579089841310139</v>
      </c>
      <c r="G23" s="232" t="n">
        <v>0.02595862270330661</v>
      </c>
      <c r="H23" s="87" t="inlineStr">
        <is>
          <t>가능</t>
        </is>
      </c>
      <c r="I23" s="233">
        <f>IF(OR(S23="",V23=""),"",IFERROR((V23/S23)^(1/3)-1,""))</f>
        <v/>
      </c>
      <c r="J23" s="236" t="n">
        <v>3.93</v>
      </c>
      <c r="K23" s="236" t="n">
        <v>4.74</v>
      </c>
      <c r="L23" s="140" t="inlineStr">
        <is>
          <t>12.38 / 0.50</t>
        </is>
      </c>
      <c r="M23" s="131" t="inlineStr">
        <is>
          <t>합성고무(NB라텍스·SBR), 합성수지(ABS), 페놀유도체, 정밀화학</t>
        </is>
      </c>
      <c r="N23" s="131" t="inlineStr">
        <is>
          <t>NB라텍스 세계 점유 상위. 부타디엔·스티렌 원료 스프레드에 손익 연동</t>
        </is>
      </c>
      <c r="O23" s="5" t="inlineStr">
        <is>
          <t>PER 12.38배·PBR 0.50배로 흑자 화학 종목 가운데 가장 싸다. 영업이익률 3.93%·ROE 4.74%로 지표를 채운 15종목 중 5위와 6위이고, 같은 석유화학인 롯데케미칼이 영업이익률 −5.10%인 것과 대비된다. 차이는 NB라텍스·고부가 합성고무 비중에서 나온다.</t>
        </is>
      </c>
      <c r="P23" s="93" t="inlineStr">
        <is>
          <t>전 지표 FY2025 기준 · 매출 DART 사업보고서(연결) · 영업이익률(기타영업손익 제외)·ROE dataguide · PER/PBR 네이버 증권 · 주가·시총 2026-09-15 종가</t>
        </is>
      </c>
      <c r="Q23" s="145" t="inlineStr">
        <is>
          <t>Top3</t>
        </is>
      </c>
      <c r="S23" s="139" t="n">
        <v>79756</v>
      </c>
      <c r="T23" s="139" t="n">
        <v>63225</v>
      </c>
      <c r="U23" s="139" t="n">
        <v>71550</v>
      </c>
      <c r="V23" s="139" t="n">
        <v>69151</v>
      </c>
    </row>
    <row r="24" ht="96" customHeight="1">
      <c r="A24" s="134" t="inlineStr">
        <is>
          <t>물류·상사</t>
        </is>
      </c>
      <c r="B24" s="87" t="inlineStr">
        <is>
          <t>팬오션</t>
        </is>
      </c>
      <c r="C24" s="87" t="inlineStr">
        <is>
          <t>028670</t>
        </is>
      </c>
      <c r="D24" s="124" t="n">
        <v>5680</v>
      </c>
      <c r="E24" s="231" t="n">
        <v>3.036355</v>
      </c>
      <c r="F24" s="126" t="n">
        <v>0.0005700901910299061</v>
      </c>
      <c r="G24" s="232" t="n">
        <v>0.001202650709255967</v>
      </c>
      <c r="H24" s="87" t="inlineStr">
        <is>
          <t>가능</t>
        </is>
      </c>
      <c r="I24" s="235">
        <f>IF(OR(S24="",V24=""),"",IFERROR((V24/S24)^(1/3)-1,""))</f>
        <v/>
      </c>
      <c r="J24" s="234" t="n">
        <v>9.06</v>
      </c>
      <c r="K24" s="234" t="n">
        <v>5.3</v>
      </c>
      <c r="L24" s="141" t="inlineStr">
        <is>
          <t>10.43 / 0.55</t>
        </is>
      </c>
      <c r="M24" s="137" t="inlineStr">
        <is>
          <t>건화물선(벌크) 운송, 탱커, 곡물 트레이딩</t>
        </is>
      </c>
      <c r="N24" s="137" t="inlineStr">
        <is>
          <t>국내 최대 벌크선사로 BDI에 직접 연동. 하림그룹 체제, 곡물 트레이딩 병행</t>
        </is>
      </c>
      <c r="O24" s="25" t="inlineStr">
        <is>
          <t>하림지주가 이 회사 지분 54.7%를 보유한다. 영업이익률 9.06%로 지표를 채운 15종목 중 2위이고 PER 10.43배로 가장 낮으며 PBR 0.55배다. 매출은 3년간 연 5.4% 줄었으나 1주 5,680원으로 팀 예산의 0.1%여서 27종목 중 편입 제약이 가장 작다.</t>
        </is>
      </c>
      <c r="P24" s="93" t="inlineStr">
        <is>
          <t>전 지표 FY2025 기준 · 매출 DART 사업보고서(연결) · 영업이익률(기타영업손익 제외)·ROE dataguide · PER/PBR 네이버 증권 · 주가·시총 2026-09-15 종가 · 지분율 지주 시트 배포본</t>
        </is>
      </c>
      <c r="Q24" s="138" t="inlineStr">
        <is>
          <t>보류</t>
        </is>
      </c>
      <c r="S24" s="139" t="n">
        <v>64203</v>
      </c>
      <c r="T24" s="139" t="n">
        <v>43610</v>
      </c>
      <c r="U24" s="139" t="n">
        <v>51612</v>
      </c>
      <c r="V24" s="139" t="n">
        <v>54329</v>
      </c>
    </row>
    <row r="25" ht="96" customHeight="1">
      <c r="A25" s="123" t="inlineStr">
        <is>
          <t>정유·석유화학</t>
        </is>
      </c>
      <c r="B25" s="87" t="inlineStr">
        <is>
          <t>롯데케미칼</t>
        </is>
      </c>
      <c r="C25" s="87" t="inlineStr">
        <is>
          <t>011170</t>
        </is>
      </c>
      <c r="D25" s="124" t="n">
        <v>64400</v>
      </c>
      <c r="E25" s="231" t="n">
        <v>2.754737</v>
      </c>
      <c r="F25" s="126" t="n">
        <v>0.000517215062984121</v>
      </c>
      <c r="G25" s="232" t="n">
        <v>0.01363568761902892</v>
      </c>
      <c r="H25" s="87" t="inlineStr">
        <is>
          <t>가능</t>
        </is>
      </c>
      <c r="I25" s="233">
        <f>IF(OR(S25="",V25=""),"",IFERROR((V25/S25)^(1/3)-1,""))</f>
        <v/>
      </c>
      <c r="J25" s="236" t="n">
        <v>-5.1</v>
      </c>
      <c r="K25" s="236" t="n">
        <v>-15.13</v>
      </c>
      <c r="L25" s="140" t="inlineStr">
        <is>
          <t>N/A / 0.21</t>
        </is>
      </c>
      <c r="M25" s="131" t="inlineStr">
        <is>
          <t>에틸렌·프로필렌 등 기초유분, PE·PP, PET·PIA, 첨단소재</t>
        </is>
      </c>
      <c r="N25" s="131" t="inlineStr">
        <is>
          <t>국내 최대 NCC 보유. 중국·중동 증설로 범용 스프레드 축소. 재무구조 개선 위한 자산 매각 진행</t>
        </is>
      </c>
      <c r="O25" s="5" t="inlineStr">
        <is>
          <t>PBR 0.21배로 지표를 채운 15종목 중 가장 낮고 시가총액은 FY25 매출의 0.15배다. 다만 영업이익률 −5.10%·ROE −15.13%로 둘 다 14위이고 매출은 3년간 연 6.0% 줄어 26종목 중 19위다. 가장 싼 이유가 적자 지속이므로 배수만으로는 근거가 되지 않는다.</t>
        </is>
      </c>
      <c r="P25" s="93" t="inlineStr">
        <is>
          <t>전 지표 FY2025 기준 · 매출 DART 사업보고서(연결) · 영업이익률(기타영업손익 제외)·ROE dataguide · PER/PBR 네이버 증권 · 주가·시총 2026-09-15 종가</t>
        </is>
      </c>
      <c r="Q25" s="132" t="inlineStr">
        <is>
          <t>탈락</t>
        </is>
      </c>
      <c r="S25" s="139" t="n">
        <v>222760</v>
      </c>
      <c r="T25" s="139" t="n">
        <v>195644</v>
      </c>
      <c r="U25" s="139" t="n">
        <v>198948</v>
      </c>
      <c r="V25" s="139" t="n">
        <v>184830</v>
      </c>
    </row>
    <row r="26" ht="40" customHeight="1">
      <c r="A26" s="134" t="inlineStr">
        <is>
          <t>정유·석유화학</t>
        </is>
      </c>
      <c r="B26" s="87" t="inlineStr">
        <is>
          <t>SK가스</t>
        </is>
      </c>
      <c r="C26" s="87" t="inlineStr">
        <is>
          <t>018670</t>
        </is>
      </c>
      <c r="D26" s="124" t="n">
        <v>240000</v>
      </c>
      <c r="E26" s="231" t="n">
        <v>2.224619</v>
      </c>
      <c r="F26" s="126" t="n">
        <v>0.0004176828699802094</v>
      </c>
      <c r="G26" s="232" t="n">
        <v>0.05081622715166057</v>
      </c>
      <c r="H26" s="87" t="inlineStr">
        <is>
          <t>가능</t>
        </is>
      </c>
      <c r="I26" s="235">
        <f>IF(OR(S26="",V26=""),"",IFERROR((V26/S26)^(1/3)-1,""))</f>
        <v/>
      </c>
      <c r="J26" s="134" t="n"/>
      <c r="K26" s="134" t="n"/>
      <c r="L26" s="134" t="n"/>
      <c r="M26" s="96" t="n"/>
      <c r="N26" s="96" t="n"/>
      <c r="O26" s="96" t="n"/>
      <c r="P26" s="96" t="n"/>
      <c r="Q26" s="96" t="n"/>
      <c r="S26" s="146" t="n"/>
      <c r="T26" s="146" t="n"/>
      <c r="U26" s="146" t="n"/>
      <c r="V26" s="146" t="n"/>
    </row>
    <row r="27" ht="40" customHeight="1">
      <c r="A27" s="123" t="inlineStr">
        <is>
          <t>스페셜티·에너지전환 소재</t>
        </is>
      </c>
      <c r="B27" s="87" t="inlineStr">
        <is>
          <t>이수스페셜티케미컬</t>
        </is>
      </c>
      <c r="C27" s="87" t="inlineStr">
        <is>
          <t>457190</t>
        </is>
      </c>
      <c r="D27" s="124" t="n">
        <v>65000</v>
      </c>
      <c r="E27" s="231" t="n">
        <v>1.964227</v>
      </c>
      <c r="F27" s="126" t="n">
        <v>0.0003687930250764813</v>
      </c>
      <c r="G27" s="232" t="n">
        <v>0.01376272818690807</v>
      </c>
      <c r="H27" s="87" t="inlineStr">
        <is>
          <t>가능</t>
        </is>
      </c>
      <c r="I27" s="233">
        <f>IF(OR(S27="",V27=""),"",IFERROR((V27/S27)^(1/3)-1,""))</f>
        <v/>
      </c>
      <c r="J27" s="123" t="n"/>
      <c r="K27" s="123" t="n"/>
      <c r="L27" s="123" t="n"/>
      <c r="M27" s="93" t="n"/>
      <c r="N27" s="93" t="n"/>
      <c r="O27" s="93" t="n"/>
      <c r="P27" s="93" t="n"/>
      <c r="Q27" s="93" t="n"/>
      <c r="S27" s="147" t="n"/>
      <c r="T27" s="147" t="n"/>
      <c r="U27" s="147" t="n"/>
      <c r="V27" s="147" t="n"/>
    </row>
    <row r="28" ht="40" customHeight="1">
      <c r="A28" s="134" t="inlineStr">
        <is>
          <t>물류·상사</t>
        </is>
      </c>
      <c r="B28" s="87" t="inlineStr">
        <is>
          <t>CJ대한통운</t>
        </is>
      </c>
      <c r="C28" s="87" t="inlineStr">
        <is>
          <t>000120</t>
        </is>
      </c>
      <c r="D28" s="124" t="n">
        <v>71700</v>
      </c>
      <c r="E28" s="231" t="n">
        <v>1.635645</v>
      </c>
      <c r="F28" s="126" t="n">
        <v>0.0003071001811405816</v>
      </c>
      <c r="G28" s="232" t="n">
        <v>0.0151813478615586</v>
      </c>
      <c r="H28" s="87" t="inlineStr">
        <is>
          <t>가능</t>
        </is>
      </c>
      <c r="I28" s="235">
        <f>IF(OR(S28="",V28=""),"",IFERROR((V28/S28)^(1/3)-1,""))</f>
        <v/>
      </c>
      <c r="J28" s="134" t="n"/>
      <c r="K28" s="134" t="n"/>
      <c r="L28" s="134" t="n"/>
      <c r="M28" s="96" t="n"/>
      <c r="N28" s="96" t="n"/>
      <c r="O28" s="96" t="n"/>
      <c r="P28" s="96" t="n"/>
      <c r="Q28" s="96" t="n"/>
      <c r="S28" s="146" t="n"/>
      <c r="T28" s="146" t="n"/>
      <c r="U28" s="146" t="n"/>
      <c r="V28" s="146" t="n"/>
    </row>
    <row r="29" ht="40" customHeight="1">
      <c r="A29" s="123" t="inlineStr">
        <is>
          <t>물류·상사</t>
        </is>
      </c>
      <c r="B29" s="87" t="inlineStr">
        <is>
          <t>동원산업</t>
        </is>
      </c>
      <c r="C29" s="87" t="inlineStr">
        <is>
          <t>006040</t>
        </is>
      </c>
      <c r="D29" s="124" t="n">
        <v>36650</v>
      </c>
      <c r="E29" s="231" t="n">
        <v>1.617761</v>
      </c>
      <c r="F29" s="126" t="n">
        <v>0.000303742374501905</v>
      </c>
      <c r="G29" s="232" t="n">
        <v>0.007760061354618167</v>
      </c>
      <c r="H29" s="87" t="inlineStr">
        <is>
          <t>가능</t>
        </is>
      </c>
      <c r="I29" s="233">
        <f>IF(OR(S29="",V29=""),"",IFERROR((V29/S29)^(1/3)-1,""))</f>
        <v/>
      </c>
      <c r="J29" s="123" t="n"/>
      <c r="K29" s="123" t="n"/>
      <c r="L29" s="123" t="n"/>
      <c r="M29" s="93" t="n"/>
      <c r="N29" s="93" t="n"/>
      <c r="O29" s="93" t="n"/>
      <c r="P29" s="93" t="n"/>
      <c r="Q29" s="93" t="n"/>
      <c r="S29" s="147" t="n"/>
      <c r="T29" s="147" t="n"/>
      <c r="U29" s="147" t="n"/>
      <c r="V29" s="147" t="n"/>
    </row>
    <row r="30" ht="40" customHeight="1">
      <c r="A30" s="134" t="inlineStr">
        <is>
          <t>스페셜티·에너지전환 소재</t>
        </is>
      </c>
      <c r="B30" s="87" t="inlineStr">
        <is>
          <t>코오롱인더</t>
        </is>
      </c>
      <c r="C30" s="87" t="inlineStr">
        <is>
          <t>120110</t>
        </is>
      </c>
      <c r="D30" s="124" t="n">
        <v>53700</v>
      </c>
      <c r="E30" s="231" t="n">
        <v>1.608102</v>
      </c>
      <c r="F30" s="126" t="n">
        <v>0.0003019288509991665</v>
      </c>
      <c r="G30" s="232" t="n">
        <v>0.01137013082518405</v>
      </c>
      <c r="H30" s="87" t="inlineStr">
        <is>
          <t>가능</t>
        </is>
      </c>
      <c r="I30" s="235">
        <f>IF(OR(S30="",V30=""),"",IFERROR((V30/S30)^(1/3)-1,""))</f>
        <v/>
      </c>
      <c r="J30" s="134" t="n"/>
      <c r="K30" s="134" t="n"/>
      <c r="L30" s="134" t="n"/>
      <c r="M30" s="96" t="n"/>
      <c r="N30" s="96" t="n"/>
      <c r="O30" s="96" t="n"/>
      <c r="P30" s="96" t="n"/>
      <c r="Q30" s="96" t="n"/>
      <c r="S30" s="146" t="n"/>
      <c r="T30" s="146" t="n"/>
      <c r="U30" s="146" t="n"/>
      <c r="V30" s="146" t="n"/>
    </row>
    <row r="31" ht="40" customHeight="1">
      <c r="A31" s="123" t="inlineStr">
        <is>
          <t>철강·비철금속</t>
        </is>
      </c>
      <c r="B31" s="87" t="inlineStr">
        <is>
          <t>세아베스틸지주</t>
        </is>
      </c>
      <c r="C31" s="87" t="inlineStr">
        <is>
          <t>001430</t>
        </is>
      </c>
      <c r="D31" s="124" t="n">
        <v>43250</v>
      </c>
      <c r="E31" s="231" t="n">
        <v>1.551037</v>
      </c>
      <c r="F31" s="126" t="n">
        <v>0.0002912146239897681</v>
      </c>
      <c r="G31" s="232" t="n">
        <v>0.009157507601288832</v>
      </c>
      <c r="H31" s="87" t="inlineStr">
        <is>
          <t>가능</t>
        </is>
      </c>
      <c r="I31" s="233">
        <f>IF(OR(S31="",V31=""),"",IFERROR((V31/S31)^(1/3)-1,""))</f>
        <v/>
      </c>
      <c r="J31" s="123" t="n"/>
      <c r="K31" s="123" t="n"/>
      <c r="L31" s="123" t="n"/>
      <c r="M31" s="93" t="n"/>
      <c r="N31" s="93" t="n"/>
      <c r="O31" s="93" t="n"/>
      <c r="P31" s="93" t="n"/>
      <c r="Q31" s="93" t="n"/>
      <c r="S31" s="147" t="n"/>
      <c r="T31" s="147" t="n"/>
      <c r="U31" s="147" t="n"/>
      <c r="V31" s="147" t="n"/>
    </row>
    <row r="32" ht="40" customHeight="1">
      <c r="A32" s="134" t="inlineStr">
        <is>
          <t>스페셜티·에너지전환 소재</t>
        </is>
      </c>
      <c r="B32" s="87" t="inlineStr">
        <is>
          <t>효성티앤씨</t>
        </is>
      </c>
      <c r="C32" s="87" t="inlineStr">
        <is>
          <t>298020</t>
        </is>
      </c>
      <c r="D32" s="124" t="n">
        <v>325000</v>
      </c>
      <c r="E32" s="231" t="n">
        <v>1.406497</v>
      </c>
      <c r="F32" s="126" t="n">
        <v>0.0002640765468507437</v>
      </c>
      <c r="G32" s="232" t="n">
        <v>0.06881364093454036</v>
      </c>
      <c r="H32" s="87" t="inlineStr">
        <is>
          <t>가능</t>
        </is>
      </c>
      <c r="I32" s="235">
        <f>IF(OR(S32="",V32=""),"",IFERROR((V32/S32)^(1/3)-1,""))</f>
        <v/>
      </c>
      <c r="J32" s="134" t="n"/>
      <c r="K32" s="134" t="n"/>
      <c r="L32" s="134" t="n"/>
      <c r="M32" s="96" t="n"/>
      <c r="N32" s="96" t="n"/>
      <c r="O32" s="96" t="n"/>
      <c r="P32" s="96" t="n"/>
      <c r="Q32" s="96" t="n"/>
      <c r="S32" s="146" t="n"/>
      <c r="T32" s="146" t="n"/>
      <c r="U32" s="146" t="n"/>
      <c r="V32" s="146" t="n"/>
    </row>
    <row r="33" ht="40" customHeight="1">
      <c r="A33" s="123" t="inlineStr">
        <is>
          <t>스페셜티·에너지전환 소재</t>
        </is>
      </c>
      <c r="B33" s="87" t="inlineStr">
        <is>
          <t>롯데정밀화학</t>
        </is>
      </c>
      <c r="C33" s="87" t="inlineStr">
        <is>
          <t>004000</t>
        </is>
      </c>
      <c r="D33" s="124" t="n">
        <v>45400</v>
      </c>
      <c r="E33" s="231" t="n">
        <v>1.17132</v>
      </c>
      <c r="F33" s="126" t="n">
        <v>0.0002199209389406541</v>
      </c>
      <c r="G33" s="232" t="n">
        <v>0.009612736302855791</v>
      </c>
      <c r="H33" s="87" t="inlineStr">
        <is>
          <t>가능</t>
        </is>
      </c>
      <c r="I33" s="233">
        <f>IF(OR(S33="",V33=""),"",IFERROR((V33/S33)^(1/3)-1,""))</f>
        <v/>
      </c>
      <c r="J33" s="123" t="n"/>
      <c r="K33" s="123" t="n"/>
      <c r="L33" s="123" t="n"/>
      <c r="M33" s="93" t="n"/>
      <c r="N33" s="93" t="n"/>
      <c r="O33" s="93" t="n"/>
      <c r="P33" s="93" t="n"/>
      <c r="Q33" s="93" t="n"/>
      <c r="S33" s="147" t="n"/>
      <c r="T33" s="147" t="n"/>
      <c r="U33" s="147" t="n"/>
      <c r="V33" s="147" t="n"/>
    </row>
    <row r="34" ht="40" customHeight="1">
      <c r="A34" s="134" t="inlineStr">
        <is>
          <t>정유·석유화학</t>
        </is>
      </c>
      <c r="B34" s="87" t="inlineStr">
        <is>
          <t>태광산업</t>
        </is>
      </c>
      <c r="C34" s="87" t="inlineStr">
        <is>
          <t>003240</t>
        </is>
      </c>
      <c r="D34" s="124" t="n">
        <v>907000</v>
      </c>
      <c r="E34" s="231" t="n">
        <v>1.009854</v>
      </c>
      <c r="F34" s="126" t="n">
        <v>0.0001896049242503972</v>
      </c>
      <c r="G34" s="232" t="n">
        <v>0.1920429917773173</v>
      </c>
      <c r="H34" s="87" t="inlineStr">
        <is>
          <t>가능</t>
        </is>
      </c>
      <c r="I34" s="235">
        <f>IF(OR(S34="",V34=""),"",IFERROR((V34/S34)^(1/3)-1,""))</f>
        <v/>
      </c>
      <c r="J34" s="134" t="n"/>
      <c r="K34" s="134" t="n"/>
      <c r="L34" s="134" t="n"/>
      <c r="M34" s="96" t="n"/>
      <c r="N34" s="96" t="n"/>
      <c r="O34" s="96" t="n"/>
      <c r="P34" s="96" t="n"/>
      <c r="Q34" s="96" t="n"/>
      <c r="S34" s="146" t="n"/>
      <c r="T34" s="146" t="n"/>
      <c r="U34" s="146" t="n"/>
      <c r="V34" s="146" t="n"/>
    </row>
    <row r="35" ht="40" customHeight="1">
      <c r="A35" s="123" t="inlineStr">
        <is>
          <t>스페셜티·에너지전환 소재</t>
        </is>
      </c>
      <c r="B35" s="87" t="inlineStr">
        <is>
          <t>SK케미칼</t>
        </is>
      </c>
      <c r="C35" s="87" t="inlineStr">
        <is>
          <t>285130</t>
        </is>
      </c>
      <c r="D35" s="124" t="n">
        <v>54200</v>
      </c>
      <c r="E35" s="231" t="n">
        <v>0.937593</v>
      </c>
      <c r="F35" s="126" t="n">
        <v>0.0001760375754739821</v>
      </c>
      <c r="G35" s="232" t="n">
        <v>0.01147599796508335</v>
      </c>
      <c r="H35" s="87" t="inlineStr">
        <is>
          <t>가능</t>
        </is>
      </c>
      <c r="I35" s="233">
        <f>IF(OR(S35="",V35=""),"",IFERROR((V35/S35)^(1/3)-1,""))</f>
        <v/>
      </c>
      <c r="J35" s="123" t="n"/>
      <c r="K35" s="123" t="n"/>
      <c r="L35" s="123" t="n"/>
      <c r="M35" s="93" t="n"/>
      <c r="N35" s="93" t="n"/>
      <c r="O35" s="93" t="n"/>
      <c r="P35" s="93" t="n"/>
      <c r="Q35" s="93" t="n"/>
      <c r="S35" s="147" t="n"/>
      <c r="T35" s="147" t="n"/>
      <c r="U35" s="147" t="n"/>
      <c r="V35" s="147" t="n"/>
    </row>
    <row r="36" ht="40" customHeight="1">
      <c r="A36" s="134" t="inlineStr">
        <is>
          <t>철강·비철금속</t>
        </is>
      </c>
      <c r="B36" s="87" t="inlineStr">
        <is>
          <t>영풍</t>
        </is>
      </c>
      <c r="C36" s="87" t="inlineStr">
        <is>
          <t>000670</t>
        </is>
      </c>
      <c r="D36" s="124" t="n">
        <v>50500</v>
      </c>
      <c r="E36" s="231" t="n">
        <v>0.929739</v>
      </c>
      <c r="F36" s="126" t="n">
        <v>0.0001745629493646012</v>
      </c>
      <c r="G36" s="232" t="n">
        <v>0.01069258112982858</v>
      </c>
      <c r="H36" s="87" t="inlineStr">
        <is>
          <t>가능</t>
        </is>
      </c>
      <c r="I36" s="235">
        <f>IF(OR(S36="",V36=""),"",IFERROR((V36/S36)^(1/3)-1,""))</f>
        <v/>
      </c>
      <c r="J36" s="134" t="n"/>
      <c r="K36" s="134" t="n"/>
      <c r="L36" s="134" t="n"/>
      <c r="M36" s="96" t="n"/>
      <c r="N36" s="96" t="n"/>
      <c r="O36" s="96" t="n"/>
      <c r="P36" s="96" t="n"/>
      <c r="Q36" s="96" t="n"/>
      <c r="S36" s="146" t="n"/>
      <c r="T36" s="146" t="n"/>
      <c r="U36" s="146" t="n"/>
      <c r="V36" s="146" t="n"/>
    </row>
    <row r="37" ht="40" customHeight="1">
      <c r="A37" s="148" t="inlineStr">
        <is>
          <t>스페셜티·에너지전환 소재</t>
        </is>
      </c>
      <c r="B37" s="149" t="inlineStr">
        <is>
          <t>HS효성첨단소재</t>
        </is>
      </c>
      <c r="C37" s="149" t="inlineStr">
        <is>
          <t>298050</t>
        </is>
      </c>
      <c r="D37" s="150" t="n">
        <v>168000</v>
      </c>
      <c r="E37" s="237" t="n">
        <v>0.752631</v>
      </c>
      <c r="F37" s="152" t="n">
        <v>0.0001413100742716281</v>
      </c>
      <c r="G37" s="238" t="n">
        <v>0.0355713590061624</v>
      </c>
      <c r="H37" s="149" t="inlineStr">
        <is>
          <t>가능</t>
        </is>
      </c>
      <c r="I37" s="239">
        <f>IF(OR(S37="",V37=""),"",IFERROR((V37/S37)^(1/3)-1,""))</f>
        <v/>
      </c>
      <c r="J37" s="148" t="n"/>
      <c r="K37" s="148" t="n"/>
      <c r="L37" s="148" t="n"/>
      <c r="M37" s="112" t="n"/>
      <c r="N37" s="112" t="n"/>
      <c r="O37" s="112" t="n"/>
      <c r="P37" s="112" t="n"/>
      <c r="Q37" s="112" t="n"/>
      <c r="S37" s="155" t="n"/>
      <c r="T37" s="155" t="n"/>
      <c r="U37" s="155" t="n"/>
      <c r="V37" s="155" t="n"/>
    </row>
    <row r="39" ht="24" customHeight="1">
      <c r="A39" s="156" t="inlineStr">
        <is>
          <t>선정 결과</t>
        </is>
      </c>
      <c r="B39" s="113" t="n"/>
      <c r="C39" s="113" t="n"/>
      <c r="D39" s="113" t="n"/>
      <c r="E39" s="113" t="n"/>
      <c r="F39" s="113" t="n"/>
      <c r="G39" s="113" t="n"/>
      <c r="H39" s="113" t="n"/>
      <c r="I39" s="84" t="n"/>
      <c r="J39" s="84" t="n"/>
      <c r="K39" s="84" t="n"/>
      <c r="L39" s="84" t="n"/>
      <c r="M39" s="113" t="n"/>
      <c r="N39" s="113" t="n"/>
      <c r="O39" s="113" t="n"/>
      <c r="P39" s="113" t="n"/>
      <c r="Q39" s="113" t="n"/>
    </row>
    <row r="40" ht="66" customHeight="1">
      <c r="A40" s="157" t="inlineStr">
        <is>
          <t>Top 1</t>
        </is>
      </c>
      <c r="B40" s="158" t="inlineStr">
        <is>
          <t>포스코인터내셔널</t>
        </is>
      </c>
      <c r="C40" s="159" t="inlineStr">
        <is>
          <t>047050</t>
        </is>
      </c>
      <c r="D40" s="160" t="inlineStr">
        <is>
          <t>ROE 9.27%로 지표를 채운 15종목 중 1위이고 영업이익률 3.60%로 6위다. 매출은 3년간 연 5.2% 줄었지만 시장이 종합상사의 트레이딩 마진으로 묶어 보는 것과 달리 이익의 축은 미얀마 가스전과 미국산 중장기 LNG이며, 천연가스 수입은 관세 부담도 받지 않아 원자재 스프레드와 동행하지 않는다.  다만 PBR 1.47배로 15종목 중 12위여서 그 차별성은 이미 값에 들어가 있다. 부문별 영업이익에서 에너지 비중이 축소되면 이 논지는 틀린 것이 된다.</t>
        </is>
      </c>
      <c r="E40" s="161" t="n"/>
      <c r="F40" s="161" t="n"/>
      <c r="G40" s="161" t="n"/>
      <c r="H40" s="161" t="n"/>
      <c r="I40" s="161" t="n"/>
      <c r="J40" s="161" t="n"/>
      <c r="K40" s="161" t="n"/>
      <c r="L40" s="161" t="n"/>
      <c r="M40" s="161" t="n"/>
      <c r="N40" s="161" t="n"/>
      <c r="O40" s="161" t="n"/>
      <c r="P40" s="161" t="n"/>
      <c r="Q40" s="162" t="n"/>
    </row>
    <row r="41" ht="66" customHeight="1">
      <c r="A41" s="157" t="inlineStr">
        <is>
          <t>Top 2</t>
        </is>
      </c>
      <c r="B41" s="158" t="inlineStr">
        <is>
          <t>OCI홀딩스</t>
        </is>
      </c>
      <c r="C41" s="159" t="inlineStr">
        <is>
          <t>010060</t>
        </is>
      </c>
      <c r="D41" s="160" t="inlineStr">
        <is>
          <t>FY2022를 인적분할 재작성 기준으로 맞추면 매출 CAGR은 +6.9%로 26종목 중 4위다. 영업이익률 −1.71%·ROE −2.27%로 적자이나 PBR 0.96배이고, 시장은 중국 증설로 폴리실리콘 전반을 같게 보지만 말레이시아 생산 기반이라 비중국 공급자로 분류되어 미국 태양광 공급망 재편의 반대편에 선다.  2029년까지 CAPA 7만톤 확대가 예정돼 있어 증설 진척과 비중국 물량 계약이 확인 시점이다. 증설이 지연되거나 중국산 규제가 완화되면 논지는 무효다.</t>
        </is>
      </c>
      <c r="E41" s="161" t="n"/>
      <c r="F41" s="161" t="n"/>
      <c r="G41" s="161" t="n"/>
      <c r="H41" s="161" t="n"/>
      <c r="I41" s="161" t="n"/>
      <c r="J41" s="161" t="n"/>
      <c r="K41" s="161" t="n"/>
      <c r="L41" s="161" t="n"/>
      <c r="M41" s="161" t="n"/>
      <c r="N41" s="161" t="n"/>
      <c r="O41" s="161" t="n"/>
      <c r="P41" s="161" t="n"/>
      <c r="Q41" s="162" t="n"/>
    </row>
    <row r="42" ht="66" customHeight="1">
      <c r="A42" s="163" t="inlineStr">
        <is>
          <t>Top 3</t>
        </is>
      </c>
      <c r="B42" s="164" t="inlineStr">
        <is>
          <t>금호석유화학</t>
        </is>
      </c>
      <c r="C42" s="165" t="inlineStr">
        <is>
          <t>011780</t>
        </is>
      </c>
      <c r="D42" s="166" t="inlineStr">
        <is>
          <t>PER 12.38배·PBR 0.50배로 흑자 화학 종목 가운데 가장 싸고 영업이익률 3.93%·ROE 4.74%로 지표를 채운 15종목 중 5위와 6위다. 같은 석유화학인 롯데케미칼이 영업이익률 −5.10%인 것과 대비되며, 차이는 NB라텍스·고부가 합성고무 비중에서 나온다.  매출은 3년간 연 4.6% 줄었으나 롯데케미칼 연 6.0%보다 감소폭이 작다. 부타디엔·스티렌 스프레드가 축소되면 이 격차는 줄어든다.</t>
        </is>
      </c>
      <c r="E42" s="167" t="n"/>
      <c r="F42" s="167" t="n"/>
      <c r="G42" s="167" t="n"/>
      <c r="H42" s="167" t="n"/>
      <c r="I42" s="167" t="n"/>
      <c r="J42" s="167" t="n"/>
      <c r="K42" s="167" t="n"/>
      <c r="L42" s="167" t="n"/>
      <c r="M42" s="167" t="n"/>
      <c r="N42" s="167" t="n"/>
      <c r="O42" s="167" t="n"/>
      <c r="P42" s="167" t="n"/>
      <c r="Q42" s="168" t="n"/>
    </row>
    <row r="43" ht="42" customHeight="1">
      <c r="A43" s="159" t="inlineStr">
        <is>
          <t>탈락 1</t>
        </is>
      </c>
      <c r="B43" s="158" t="inlineStr">
        <is>
          <t>SKC</t>
        </is>
      </c>
      <c r="C43" s="159" t="inlineStr">
        <is>
          <t>011790</t>
        </is>
      </c>
      <c r="D43" s="160" t="inlineStr">
        <is>
          <t>영업이익률 −16.58%·ROE −73.28%로 지표를 채운 15종목 중 둘 다 최하위이고 매출도 3년간 연 8.3% 줄어 26종목 중 22위인데, PBR 3.60배로 15종목 중 가장 높다. 실적이 가장 나쁜 종목에 가장 높은 배수가 붙어 있어 값의 근거가 현재 이익이 아니라 동박·유리기판의 미래 이익에 있다.</t>
        </is>
      </c>
      <c r="E43" s="161" t="n"/>
      <c r="F43" s="161" t="n"/>
      <c r="G43" s="161" t="n"/>
      <c r="H43" s="161" t="n"/>
      <c r="I43" s="161" t="n"/>
      <c r="J43" s="161" t="n"/>
      <c r="K43" s="161" t="n"/>
      <c r="L43" s="161" t="n"/>
      <c r="M43" s="161" t="n"/>
      <c r="N43" s="161" t="n"/>
      <c r="O43" s="161" t="n"/>
      <c r="P43" s="161" t="n"/>
      <c r="Q43" s="162" t="n"/>
    </row>
    <row r="44" ht="42" customHeight="1">
      <c r="A44" s="159" t="inlineStr">
        <is>
          <t>탈락 2</t>
        </is>
      </c>
      <c r="B44" s="158" t="inlineStr">
        <is>
          <t>현대제철</t>
        </is>
      </c>
      <c r="C44" s="159" t="inlineStr">
        <is>
          <t>004020</t>
        </is>
      </c>
      <c r="D44" s="160" t="inlineStr">
        <is>
          <t>영업이익률 0.96%·ROE −0.04%로 자기자본이 이익을 내지 못한다. PBR 0.23배는 지표를 채운 15종목 중 두 번째로 낮지만 매출이 3년간 연 6.0% 줄어 저PBR이 회복 근거가 되지 못한다.</t>
        </is>
      </c>
      <c r="E44" s="161" t="n"/>
      <c r="F44" s="161" t="n"/>
      <c r="G44" s="161" t="n"/>
      <c r="H44" s="161" t="n"/>
      <c r="I44" s="161" t="n"/>
      <c r="J44" s="161" t="n"/>
      <c r="K44" s="161" t="n"/>
      <c r="L44" s="161" t="n"/>
      <c r="M44" s="161" t="n"/>
      <c r="N44" s="161" t="n"/>
      <c r="O44" s="161" t="n"/>
      <c r="P44" s="161" t="n"/>
      <c r="Q44" s="162" t="n"/>
    </row>
    <row r="45" ht="42" customHeight="1">
      <c r="A45" s="159" t="inlineStr">
        <is>
          <t>탈락 3</t>
        </is>
      </c>
      <c r="B45" s="158" t="inlineStr">
        <is>
          <t>한화솔루션</t>
        </is>
      </c>
      <c r="C45" s="159" t="inlineStr">
        <is>
          <t>009830</t>
        </is>
      </c>
      <c r="D45" s="160" t="inlineStr">
        <is>
          <t>영업이익률 −2.74%·ROE −7.01%로 지표를 채운 15종목 중 13위와 12위다. 2팀 지주 시트의 한화가 지분 36.2%를 보유해 지주를 편입하면 노출이 중복된다.</t>
        </is>
      </c>
      <c r="E45" s="161" t="n"/>
      <c r="F45" s="161" t="n"/>
      <c r="G45" s="161" t="n"/>
      <c r="H45" s="161" t="n"/>
      <c r="I45" s="161" t="n"/>
      <c r="J45" s="161" t="n"/>
      <c r="K45" s="161" t="n"/>
      <c r="L45" s="161" t="n"/>
      <c r="M45" s="161" t="n"/>
      <c r="N45" s="161" t="n"/>
      <c r="O45" s="161" t="n"/>
      <c r="P45" s="161" t="n"/>
      <c r="Q45" s="162" t="n"/>
    </row>
    <row r="46" ht="42" customHeight="1">
      <c r="A46" s="159" t="inlineStr">
        <is>
          <t>탈락 4</t>
        </is>
      </c>
      <c r="B46" s="158" t="inlineStr">
        <is>
          <t>HMM</t>
        </is>
      </c>
      <c r="C46" s="159" t="inlineStr">
        <is>
          <t>011200</t>
        </is>
      </c>
      <c r="D46" s="160" t="inlineStr">
        <is>
          <t>영업이익률 13.42%로 지표를 채운 15종목 중 1위지만 매출이 3년간 연 16.3% 줄어 26종목 중 최하위이고, 이익의 원천이 운임 사이클에 있다는 뜻이다. 시가총액 19.48조가 FY25 매출의 1.79배로 26종목 중 세 번째로 높아 운임이 정상화되면 배수가 먼저 조정된다.</t>
        </is>
      </c>
      <c r="E46" s="161" t="n"/>
      <c r="F46" s="161" t="n"/>
      <c r="G46" s="161" t="n"/>
      <c r="H46" s="161" t="n"/>
      <c r="I46" s="161" t="n"/>
      <c r="J46" s="161" t="n"/>
      <c r="K46" s="161" t="n"/>
      <c r="L46" s="161" t="n"/>
      <c r="M46" s="161" t="n"/>
      <c r="N46" s="161" t="n"/>
      <c r="O46" s="161" t="n"/>
      <c r="P46" s="161" t="n"/>
      <c r="Q46" s="162" t="n"/>
    </row>
    <row r="47" ht="42" customHeight="1">
      <c r="A47" s="165" t="inlineStr">
        <is>
          <t>탈락 5</t>
        </is>
      </c>
      <c r="B47" s="164" t="inlineStr">
        <is>
          <t>롯데케미칼</t>
        </is>
      </c>
      <c r="C47" s="165" t="inlineStr">
        <is>
          <t>011170</t>
        </is>
      </c>
      <c r="D47" s="166" t="inlineStr">
        <is>
          <t>영업이익률 −5.10%·ROE −15.13%로 지표를 채운 15종목 중 둘 다 14위다. PBR 0.21배로 가장 낮지만 매출이 3년간 연 6.0% 줄고 적자가 이어져 저배수가 회복 근거가 되지 못한다.</t>
        </is>
      </c>
      <c r="E47" s="167" t="n"/>
      <c r="F47" s="167" t="n"/>
      <c r="G47" s="167" t="n"/>
      <c r="H47" s="167" t="n"/>
      <c r="I47" s="167" t="n"/>
      <c r="J47" s="167" t="n"/>
      <c r="K47" s="167" t="n"/>
      <c r="L47" s="167" t="n"/>
      <c r="M47" s="167" t="n"/>
      <c r="N47" s="167" t="n"/>
      <c r="O47" s="167" t="n"/>
      <c r="P47" s="167" t="n"/>
      <c r="Q47" s="168" t="n"/>
    </row>
  </sheetData>
  <mergeCells count="17">
    <mergeCell ref="D41:Q41"/>
    <mergeCell ref="E4:F4"/>
    <mergeCell ref="S9:V9"/>
    <mergeCell ref="D44:Q44"/>
    <mergeCell ref="D45:Q45"/>
    <mergeCell ref="D46:Q46"/>
    <mergeCell ref="D47:Q47"/>
    <mergeCell ref="B5:C5"/>
    <mergeCell ref="A7:Q7"/>
    <mergeCell ref="D42:Q42"/>
    <mergeCell ref="E5:F5"/>
    <mergeCell ref="K5:L5"/>
    <mergeCell ref="H5:I5"/>
    <mergeCell ref="D43:Q43"/>
    <mergeCell ref="H4:I4"/>
    <mergeCell ref="B4:C4"/>
    <mergeCell ref="D40:Q40"/>
  </mergeCells>
  <dataValidations count="1">
    <dataValidation sqref="Q11:Q37" showDropDown="0" showInputMessage="0" showErrorMessage="0" allowBlank="1" type="list">
      <formula1>"Top1,Top2,Top3,보류,탈락"</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30"/>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6" customWidth="1" min="2" max="2"/>
    <col width="8" customWidth="1" min="3" max="3"/>
    <col width="10" customWidth="1" min="4" max="4"/>
    <col width="11" customWidth="1" min="5" max="5"/>
    <col width="10" customWidth="1" min="6" max="6"/>
    <col width="11" customWidth="1" min="7" max="7"/>
    <col width="10" customWidth="1" min="8" max="8"/>
    <col width="12" customWidth="1" min="9" max="9"/>
    <col width="10" customWidth="1" min="10" max="10"/>
    <col width="9" customWidth="1" min="11" max="11"/>
    <col width="11" customWidth="1" min="12" max="12"/>
    <col width="22" customWidth="1" min="13" max="13"/>
    <col width="26" customWidth="1" min="14" max="14"/>
    <col width="34" customWidth="1" min="15" max="15"/>
    <col width="18" customWidth="1" min="16" max="16"/>
    <col width="9" customWidth="1" min="17" max="17"/>
    <col width="9" customWidth="1" min="18" max="18"/>
    <col width="9" customWidth="1" min="19" max="19"/>
    <col width="9" customWidth="1" min="20" max="20"/>
    <col width="11" customWidth="1" min="21" max="21"/>
    <col width="9" customWidth="1" min="22" max="22"/>
    <col width="12" customWidth="1" min="23" max="23"/>
  </cols>
  <sheetData>
    <row r="1" ht="22" customHeight="1">
      <c r="A1" s="1" t="inlineStr">
        <is>
          <t>지주 — 산업재·인프라</t>
        </is>
      </c>
    </row>
    <row r="2">
      <c r="A2" s="2" t="inlineStr">
        <is>
          <t>ICOK Fund 26-2  ·  담당 산업 스크리닝</t>
        </is>
      </c>
    </row>
    <row r="3" ht="3" customHeight="1">
      <c r="A3" s="3" t="n"/>
      <c r="B3" s="3" t="n"/>
      <c r="C3" s="3" t="n"/>
      <c r="D3" s="3" t="n"/>
      <c r="E3" s="3" t="n"/>
      <c r="F3" s="3" t="n"/>
      <c r="G3" s="3" t="n"/>
      <c r="H3" s="3" t="n"/>
      <c r="I3" s="3" t="n"/>
      <c r="J3" s="3" t="n"/>
      <c r="K3" s="3" t="n"/>
      <c r="L3" s="3" t="n"/>
      <c r="M3" s="3" t="n"/>
      <c r="N3" s="3" t="n"/>
      <c r="O3" s="3" t="n"/>
      <c r="P3" s="3" t="n"/>
      <c r="Q3" s="3" t="n"/>
    </row>
    <row r="4" ht="17" customHeight="1">
      <c r="A4" s="4" t="inlineStr">
        <is>
          <t>팀</t>
        </is>
      </c>
      <c r="B4" s="8" t="inlineStr">
        <is>
          <t>팀 2 · 중후장대·인프라</t>
        </is>
      </c>
      <c r="C4" s="9" t="n"/>
      <c r="D4" s="4" t="inlineStr">
        <is>
          <t>담당자</t>
        </is>
      </c>
      <c r="E4" s="8" t="inlineStr">
        <is>
          <t>이재우</t>
        </is>
      </c>
      <c r="F4" s="9" t="n"/>
      <c r="G4" s="4" t="inlineStr">
        <is>
          <t>제출일</t>
        </is>
      </c>
      <c r="H4" s="8" t="n"/>
      <c r="I4" s="9" t="n"/>
    </row>
    <row r="5" ht="17" customHeight="1">
      <c r="A5" s="4" t="inlineStr">
        <is>
          <t>지수 비중</t>
        </is>
      </c>
      <c r="B5" s="8" t="inlineStr">
        <is>
          <t>2.23%</t>
        </is>
      </c>
      <c r="C5" s="9" t="n"/>
      <c r="D5" s="4" t="inlineStr">
        <is>
          <t>배정액</t>
        </is>
      </c>
      <c r="E5" s="8" t="inlineStr">
        <is>
          <t>623,430원</t>
        </is>
      </c>
      <c r="F5" s="9" t="n"/>
      <c r="G5" s="4" t="inlineStr">
        <is>
          <t>종목 수</t>
        </is>
      </c>
      <c r="H5" s="8" t="inlineStr">
        <is>
          <t>10</t>
        </is>
      </c>
      <c r="I5" s="9" t="n"/>
      <c r="J5" s="4" t="inlineStr">
        <is>
          <t>기준일</t>
        </is>
      </c>
      <c r="K5" s="8" t="inlineStr">
        <is>
          <t>2026-09-15</t>
        </is>
      </c>
      <c r="L5" s="9" t="n"/>
    </row>
    <row r="7" ht="15" customHeight="1">
      <c r="A7" s="169" t="inlineStr">
        <is>
          <t>순수지주를 재료 기준으로 묶었다. 두산은 자체 사업(전자BG 하이엔드 CCL)과 자회사(두산에너빌리티 가스터빈·SMR)가 모두 AI 데이터센터로 모인다 — 팀 1의 이수페타시스·대덕전자와 재료가 겹치므로 합산 노출을 확인한다. 하림지주는 육계가 아니라 팬오션(벌크 해운)이 NAV의 대부분이라 이 팀으로 옮겼다. (주)한화는 인적분할로 모멘텀·비전이 빠져나가 자체 사업이 화약·유도무기와 건설만 남았다.</t>
        </is>
      </c>
    </row>
    <row r="8">
      <c r="A8" s="2" t="inlineStr">
        <is>
          <t>음영 셀은 기입 완료. 흰색 셀만 작성한다.</t>
        </is>
      </c>
    </row>
    <row r="9">
      <c r="R9" s="170" t="inlineStr">
        <is>
          <t>상대 주가 Z-Score</t>
        </is>
      </c>
      <c r="S9" s="171" t="n"/>
      <c r="T9" s="172" t="n"/>
      <c r="U9" s="170" t="inlineStr">
        <is>
          <t>순차입금 반영</t>
        </is>
      </c>
      <c r="V9" s="171" t="n"/>
      <c r="W9" s="172" t="n"/>
    </row>
    <row r="10" ht="29" customHeight="1">
      <c r="A10" s="11" t="inlineStr">
        <is>
          <t>하위 테마</t>
        </is>
      </c>
      <c r="B10" s="11" t="inlineStr">
        <is>
          <t>기업명</t>
        </is>
      </c>
      <c r="C10" s="11" t="inlineStr">
        <is>
          <t>코드</t>
        </is>
      </c>
      <c r="D10" s="11" t="inlineStr">
        <is>
          <t>주가</t>
        </is>
      </c>
      <c r="E10" s="11" t="inlineStr">
        <is>
          <t>시가총액(조)</t>
        </is>
      </c>
      <c r="F10" s="11" t="inlineStr">
        <is>
          <t>지수 비중</t>
        </is>
      </c>
      <c r="G10" s="11" t="inlineStr">
        <is>
          <t>1주 / 팀예산</t>
        </is>
      </c>
      <c r="H10" s="11" t="inlineStr">
        <is>
          <t>매수 판정</t>
        </is>
      </c>
      <c r="I10" s="11" t="inlineStr">
        <is>
          <t>매출 CAGR(3Y)</t>
        </is>
      </c>
      <c r="J10" s="11" t="inlineStr">
        <is>
          <t>영업이익률</t>
        </is>
      </c>
      <c r="K10" s="11" t="inlineStr">
        <is>
          <t>ROE</t>
        </is>
      </c>
      <c r="L10" s="173" t="inlineStr">
        <is>
          <t>PER / Fwd12M / PBR</t>
        </is>
      </c>
      <c r="M10" s="11" t="inlineStr">
        <is>
          <t>주요 제품</t>
        </is>
      </c>
      <c r="N10" s="11" t="inlineStr">
        <is>
          <t>시장 포지셔닝</t>
        </is>
      </c>
      <c r="O10" s="11" t="inlineStr">
        <is>
          <t>투자포인트 / 탈락 사유</t>
        </is>
      </c>
      <c r="P10" s="11" t="inlineStr">
        <is>
          <t>출처 · 기준일</t>
        </is>
      </c>
      <c r="Q10" s="11" t="inlineStr">
        <is>
          <t>판정</t>
        </is>
      </c>
      <c r="R10" s="174" t="inlineStr">
        <is>
          <t>52주 Z</t>
        </is>
      </c>
      <c r="S10" s="174" t="inlineStr">
        <is>
          <t>6M Z</t>
        </is>
      </c>
      <c r="T10" s="174" t="inlineStr">
        <is>
          <t>1M Z</t>
        </is>
      </c>
      <c r="U10" s="174" t="inlineStr">
        <is>
          <t>순차입/시총</t>
        </is>
      </c>
      <c r="V10" s="174" t="inlineStr">
        <is>
          <t>조정 배수</t>
        </is>
      </c>
      <c r="W10" s="174" t="inlineStr">
        <is>
          <t>자회사 Fwd12M</t>
        </is>
      </c>
    </row>
    <row r="11" ht="72.5" customHeight="1">
      <c r="A11" s="14" t="inlineStr">
        <is>
          <t>AI 데이터센터</t>
        </is>
      </c>
      <c r="B11" s="175" t="inlineStr">
        <is>
          <t>SK</t>
        </is>
      </c>
      <c r="C11" s="15" t="inlineStr">
        <is>
          <t>034730</t>
        </is>
      </c>
      <c r="D11" s="16" t="n">
        <v>550000</v>
      </c>
      <c r="E11" s="218" t="n">
        <v>39.876487</v>
      </c>
      <c r="F11" s="18" t="n">
        <v>0.007487001385355655</v>
      </c>
      <c r="G11" s="219" t="n">
        <v>0.1164538538892222</v>
      </c>
      <c r="H11" s="15" t="inlineStr">
        <is>
          <t>가능</t>
        </is>
      </c>
      <c r="I11" s="240" t="n">
        <v>-0.0242456852076004</v>
      </c>
      <c r="J11" s="240" t="n">
        <v>0.01482010212305716</v>
      </c>
      <c r="K11" s="240" t="n">
        <v>0.06351655061479228</v>
      </c>
      <c r="L11" s="177" t="inlineStr">
        <is>
          <t>19.0 / 2.7 / 1.20</t>
        </is>
      </c>
      <c r="M11" s="178" t="inlineStr">
        <is>
          <t>SK주식회사 C&amp;C — IT서비스 · 클라우드 · AI 인프라 / 매출 2.6%</t>
        </is>
      </c>
      <c r="N11" s="178" t="inlineStr">
        <is>
          <t>SK이노베이션 지분 51.7%(SK E&amp;S 합병) · SK텔레콤 30.6% · SK스퀘어 32.1%(→SK하이닉스) · SK에코플랜트 66.7% / 매출 SK이노 58.7% · SKT 12.5% · 에코플랜트 8.9%</t>
        </is>
      </c>
      <c r="O11" s="5" t="inlineStr">
        <is>
          <t>부채를 뺀 지분가치 1.46배·자회사 3.8배로 2팀에서 가장 싸다. 다만 1주당 SK하이닉스 노출이 2.22배로 SK스퀘어 1.92배보다 크고 지분의 71%가 SK스퀘어다. 1팀 Top1과 같은 자산이라 보류로 내린다.</t>
        </is>
      </c>
      <c r="P11" s="5" t="inlineStr">
        <is>
          <t>DART 사업보고서 FY22~25(연결), FnGuide · 2026-09-15</t>
        </is>
      </c>
      <c r="Q11" s="5" t="inlineStr">
        <is>
          <t>보류</t>
        </is>
      </c>
      <c r="R11" s="179" t="n">
        <v>0.34</v>
      </c>
      <c r="S11" s="179" t="n">
        <v>1.2</v>
      </c>
      <c r="T11" s="179" t="n">
        <v>-0.63</v>
      </c>
      <c r="U11" s="241" t="n">
        <v>0.162</v>
      </c>
      <c r="V11" s="179" t="n">
        <v>1.46</v>
      </c>
      <c r="W11" s="242" t="n">
        <v>3.8</v>
      </c>
    </row>
    <row r="12" ht="58" customHeight="1">
      <c r="A12" s="14" t="inlineStr">
        <is>
          <t>AI 데이터센터</t>
        </is>
      </c>
      <c r="B12" s="14" t="inlineStr">
        <is>
          <t>두산</t>
        </is>
      </c>
      <c r="C12" s="15" t="inlineStr">
        <is>
          <t>000150</t>
        </is>
      </c>
      <c r="D12" s="16" t="n">
        <v>1289000</v>
      </c>
      <c r="E12" s="218" t="n">
        <v>20.873853</v>
      </c>
      <c r="F12" s="18" t="n">
        <v>0.003919165856528693</v>
      </c>
      <c r="G12" s="219" t="n">
        <v>0.272925486660377</v>
      </c>
      <c r="H12" s="15" t="inlineStr">
        <is>
          <t>가능</t>
        </is>
      </c>
      <c r="I12" s="243" t="n">
        <v>0.05194293454491961</v>
      </c>
      <c r="J12" s="243" t="n">
        <v>0.0537155068368407</v>
      </c>
      <c r="K12" s="243" t="n">
        <v>0.04986921545725238</v>
      </c>
      <c r="L12" s="183" t="inlineStr">
        <is>
          <t>304.7 / 37.7 / 14.75</t>
        </is>
      </c>
      <c r="M12" s="178" t="inlineStr">
        <is>
          <t>전자BG — 하이엔드 CCL(AI 서버 기판) · DI BG(IT서비스) / 매출 9.7%</t>
        </is>
      </c>
      <c r="N12" s="178" t="inlineStr">
        <is>
          <t>두산에너빌리티 지분 30.4% — 가스터빈 · 원전 주기기 · SMR / 매출 밥캣 44.4% · 에너빌리티 39.4% · 퓨얼셀 2.0%(밥캣·퓨얼셀은 간접보유)</t>
        </is>
      </c>
      <c r="O12" s="25" t="inlineStr">
        <is>
          <t>6개월간 두산에너빌리티가 19% 내렸는데 주가는 18% 올랐다. 자회사가 아니라 자체 전자사업에 붙은 값이고 그 값이 Fwd12M 37.7배·PBR 14.75배다. 1주 1,289,000원이 팀 예산의 27.3%다.</t>
        </is>
      </c>
      <c r="P12" s="25" t="inlineStr">
        <is>
          <t>DART 사업보고서 FY22~25(연결), FnGuide · 2026-09-15</t>
        </is>
      </c>
      <c r="Q12" s="25" t="inlineStr">
        <is>
          <t>탈락</t>
        </is>
      </c>
      <c r="R12" s="179" t="n">
        <v>0.11</v>
      </c>
      <c r="S12" s="179" t="n">
        <v>-0.08</v>
      </c>
      <c r="T12" s="179" t="n">
        <v>-0.18</v>
      </c>
      <c r="U12" s="241" t="n">
        <v>0.06</v>
      </c>
      <c r="V12" s="179" t="n">
        <v>0.78</v>
      </c>
      <c r="W12" s="242" t="n">
        <v>166.6</v>
      </c>
    </row>
    <row r="13" ht="72.5" customHeight="1">
      <c r="A13" s="14" t="inlineStr">
        <is>
          <t>전력·인프라</t>
        </is>
      </c>
      <c r="B13" s="175" t="inlineStr">
        <is>
          <t>HD현대</t>
        </is>
      </c>
      <c r="C13" s="15" t="inlineStr">
        <is>
          <t>267250</t>
        </is>
      </c>
      <c r="D13" s="16" t="n">
        <v>225000</v>
      </c>
      <c r="E13" s="218" t="n">
        <v>17.773444</v>
      </c>
      <c r="F13" s="18" t="n">
        <v>0.003337049220272115</v>
      </c>
      <c r="G13" s="219" t="n">
        <v>0.04764021295468179</v>
      </c>
      <c r="H13" s="15" t="inlineStr">
        <is>
          <t>가능</t>
        </is>
      </c>
      <c r="I13" s="240" t="n">
        <v>0.05405043945873911</v>
      </c>
      <c r="J13" s="240" t="n">
        <v>0.08559759101508281</v>
      </c>
      <c r="K13" s="240" t="n">
        <v>0.1024599159262635</v>
      </c>
      <c r="L13" s="177" t="inlineStr">
        <is>
          <t>16.5 / 4.4 / 1.57</t>
        </is>
      </c>
      <c r="M13" s="178" t="inlineStr">
        <is>
          <t>브랜드 로열티 / 기타부문 0.8%</t>
        </is>
      </c>
      <c r="N13" s="178" t="inlineStr">
        <is>
          <t>HD한국조선해양 지분 35.1%(→HD현대중공업) · HD현대일렉트릭 35.7% · HD현대오일뱅크 73.9% / 매출 정유 44.9% · 조선해양 34.1% · 건설장비 11.9%</t>
        </is>
      </c>
      <c r="O13" s="5" t="inlineStr">
        <is>
          <t>순차입금이 시가총액의 1.2%로 2팀에서 가장 적고 6개월 할인 변동도 2.0%로 작다. ROE 10.2%는 10종목 중 가장 높다. 자회사 세 곳이 모두 팀2 조선·전력기기 시트 종목이다.</t>
        </is>
      </c>
      <c r="P13" s="5" t="inlineStr">
        <is>
          <t>DART 사업보고서 FY22~25(연결), FnGuide · 2026-09-15</t>
        </is>
      </c>
      <c r="Q13" s="5" t="inlineStr">
        <is>
          <t>Top1</t>
        </is>
      </c>
      <c r="R13" s="179" t="n">
        <v>-0.51</v>
      </c>
      <c r="S13" s="179" t="n">
        <v>-0.91</v>
      </c>
      <c r="T13" s="179" t="n">
        <v>-0.53</v>
      </c>
      <c r="U13" s="241" t="n">
        <v>0.012</v>
      </c>
      <c r="V13" s="179" t="n">
        <v>1.44</v>
      </c>
      <c r="W13" s="242" t="n">
        <v>12.5</v>
      </c>
    </row>
    <row r="14" ht="58" customHeight="1">
      <c r="A14" s="14" t="inlineStr">
        <is>
          <t>에너지·유통</t>
        </is>
      </c>
      <c r="B14" s="14" t="inlineStr">
        <is>
          <t>GS</t>
        </is>
      </c>
      <c r="C14" s="15" t="inlineStr">
        <is>
          <t>078930</t>
        </is>
      </c>
      <c r="D14" s="16" t="n">
        <v>115100</v>
      </c>
      <c r="E14" s="218" t="n">
        <v>10.692271</v>
      </c>
      <c r="F14" s="18" t="n">
        <v>0.002007525080872798</v>
      </c>
      <c r="G14" s="219" t="n">
        <v>0.02437061560481722</v>
      </c>
      <c r="H14" s="15" t="inlineStr">
        <is>
          <t>가능</t>
        </is>
      </c>
      <c r="I14" s="243" t="n">
        <v>-0.04131596076920718</v>
      </c>
      <c r="J14" s="243" t="n">
        <v>0.1165837910521973</v>
      </c>
      <c r="K14" s="243" t="n">
        <v>0.05550611174800851</v>
      </c>
      <c r="L14" s="183" t="inlineStr">
        <is>
          <t>13.6 / 6.1 / 0.74</t>
        </is>
      </c>
      <c r="M14" s="178" t="inlineStr">
        <is>
          <t>지주사업 — 매출 1.5%(별도 수익 3,693억 = 배당 2,005억 · 로열티 978억 · 임대 699억)</t>
        </is>
      </c>
      <c r="N14" s="178" t="inlineStr">
        <is>
          <t>GS에너지 지분 100%(→GS칼텍스, 지분법) · GS리테일 58.6% · GS EPS 70% / 매출 유통 46.6% · 가스전력 26.9% · 무역 15.6%</t>
        </is>
      </c>
      <c r="O14" s="25" t="inlineStr">
        <is>
          <t>시가총액의 88%가 GS에너지 등 비상장이라 지분가치로 값을 매길 수 없다. 매출은 3년간 연 4.1% 줄었고 FY27 예상 순이익이 FY26보다 42% 적다.</t>
        </is>
      </c>
      <c r="P14" s="25" t="inlineStr">
        <is>
          <t>DART 사업보고서 FY22~25(연결), FnGuide · 2026-09-15</t>
        </is>
      </c>
      <c r="Q14" s="25" t="inlineStr">
        <is>
          <t>탈락</t>
        </is>
      </c>
      <c r="R14" s="179" t="n">
        <v>0.37</v>
      </c>
      <c r="S14" s="179" t="n">
        <v>1.57</v>
      </c>
      <c r="T14" s="179" t="n">
        <v>-0.35</v>
      </c>
      <c r="U14" s="241" t="n">
        <v>0.003</v>
      </c>
      <c r="V14" s="179" t="n">
        <v>0.12</v>
      </c>
      <c r="W14" s="242" t="n">
        <v>8.699999999999999</v>
      </c>
    </row>
    <row r="15" ht="72.5" customHeight="1">
      <c r="A15" s="14" t="inlineStr">
        <is>
          <t>전력·인프라</t>
        </is>
      </c>
      <c r="B15" s="175" t="inlineStr">
        <is>
          <t>LS</t>
        </is>
      </c>
      <c r="C15" s="15" t="inlineStr">
        <is>
          <t>006260</t>
        </is>
      </c>
      <c r="D15" s="16" t="n">
        <v>303500</v>
      </c>
      <c r="E15" s="218" t="n">
        <v>9.469200000000001</v>
      </c>
      <c r="F15" s="18" t="n">
        <v>0.001777887643869175</v>
      </c>
      <c r="G15" s="219" t="n">
        <v>0.06426135391887076</v>
      </c>
      <c r="H15" s="15" t="inlineStr">
        <is>
          <t>가능</t>
        </is>
      </c>
      <c r="I15" s="240" t="n">
        <v>0.2213866008055947</v>
      </c>
      <c r="J15" s="240" t="n">
        <v>0.03302645046062239</v>
      </c>
      <c r="K15" s="240" t="n">
        <v>0.0564492452363947</v>
      </c>
      <c r="L15" s="177" t="inlineStr">
        <is>
          <t>30.6 / 11.3 / 1.68</t>
        </is>
      </c>
      <c r="M15" s="178" t="inlineStr">
        <is>
          <t>지주사업 — 기타조정(-5.0%)에 포함</t>
        </is>
      </c>
      <c r="N15" s="178" t="inlineStr">
        <is>
          <t>LS ELECTRIC 지분 49% · LS전선 93% — 전력기기 · 해저케이블 / 매출 엠앤엠 46.9%(지분 75%) · 전선 23.8% · 일렉트릭 15.6%</t>
        </is>
      </c>
      <c r="O15" s="5" t="inlineStr">
        <is>
          <t>부채를 빼도 지분가치가 시가총액의 1.45배이고 순차입금은 8.3%로 적다. 주가 Z도 세 구간 모두 평균 아래다. 다만 LS ELECTRIC이 Fwd12M 58.7배·PBR 12.69배여서 이 값이 내려가면 지분가치가 먼저 줄어든다.</t>
        </is>
      </c>
      <c r="P15" s="5" t="inlineStr">
        <is>
          <t>DART 사업보고서 FY22~25(연결), FnGuide · 2026-09-15</t>
        </is>
      </c>
      <c r="Q15" s="5" t="inlineStr">
        <is>
          <t>Top3</t>
        </is>
      </c>
      <c r="R15" s="179" t="n">
        <v>-0.3</v>
      </c>
      <c r="S15" s="179" t="n">
        <v>0.03</v>
      </c>
      <c r="T15" s="179" t="n">
        <v>-0.64</v>
      </c>
      <c r="U15" s="241" t="n">
        <v>0.083</v>
      </c>
      <c r="V15" s="179" t="n">
        <v>1.45</v>
      </c>
      <c r="W15" s="242" t="n">
        <v>58.7</v>
      </c>
    </row>
    <row r="16" ht="58" customHeight="1">
      <c r="A16" s="14" t="inlineStr">
        <is>
          <t>운송</t>
        </is>
      </c>
      <c r="B16" s="184" t="inlineStr">
        <is>
          <t>한진칼</t>
        </is>
      </c>
      <c r="C16" s="15" t="inlineStr">
        <is>
          <t>180640</t>
        </is>
      </c>
      <c r="D16" s="16" t="n">
        <v>138100</v>
      </c>
      <c r="E16" s="218" t="n">
        <v>9.21987</v>
      </c>
      <c r="F16" s="18" t="n">
        <v>0.00173107474243654</v>
      </c>
      <c r="G16" s="219" t="n">
        <v>0.02924050404018469</v>
      </c>
      <c r="H16" s="15" t="inlineStr">
        <is>
          <t>가능</t>
        </is>
      </c>
      <c r="I16" s="243" t="n">
        <v>0.1419878833333814</v>
      </c>
      <c r="J16" s="243" t="n">
        <v>-0.02521604402403568</v>
      </c>
      <c r="K16" s="243" t="n">
        <v>0.04745178389146201</v>
      </c>
      <c r="L16" s="183" t="inlineStr">
        <is>
          <t>59.7 / N/A / 2.78</t>
        </is>
      </c>
      <c r="M16" s="178" t="inlineStr">
        <is>
          <t>정석기업 — 부동산 임대 · 호텔 / 매출 호텔 40.2% · 임대 30.4%</t>
        </is>
      </c>
      <c r="N16" s="178" t="inlineStr">
        <is>
          <t>대한항공 지분 26.1% · 진에어 — 지분법(연결 제외) / 연결은 칼호텔네트워크 100% · 토파스여행정보 94.4% · 정석기업 60.5%</t>
        </is>
      </c>
      <c r="O16" s="25" t="inlineStr">
        <is>
          <t>10종목 중 유일하게 영업적자다. 대한항공 지분가치에서 부채를 빼면 시가총액의 0.28배뿐이고, 추정기관이 없어 앞으로의 이익을 확인할 수 없다.</t>
        </is>
      </c>
      <c r="P16" s="25" t="inlineStr">
        <is>
          <t>DART 사업보고서 FY22~25(연결), FnGuide · 2026-09-15</t>
        </is>
      </c>
      <c r="Q16" s="25" t="inlineStr">
        <is>
          <t>탈락</t>
        </is>
      </c>
      <c r="R16" s="179" t="n">
        <v>-0.6899999999999999</v>
      </c>
      <c r="S16" s="179" t="n">
        <v>-0.02</v>
      </c>
      <c r="T16" s="179" t="n">
        <v>0.73</v>
      </c>
      <c r="U16" s="241" t="n">
        <v>0.028</v>
      </c>
      <c r="V16" s="179" t="n">
        <v>0.28</v>
      </c>
      <c r="W16" s="242" t="n">
        <v>29.6</v>
      </c>
    </row>
    <row r="17" ht="58" customHeight="1">
      <c r="A17" s="14" t="inlineStr">
        <is>
          <t>방산·건설</t>
        </is>
      </c>
      <c r="B17" s="175" t="inlineStr">
        <is>
          <t>한화</t>
        </is>
      </c>
      <c r="C17" s="15" t="inlineStr">
        <is>
          <t>000880</t>
        </is>
      </c>
      <c r="D17" s="16" t="n">
        <v>137100</v>
      </c>
      <c r="E17" s="218" t="n">
        <v>7.311392</v>
      </c>
      <c r="F17" s="18" t="n">
        <v>0.001372748859067707</v>
      </c>
      <c r="G17" s="219" t="n">
        <v>0.0290287697603861</v>
      </c>
      <c r="H17" s="15" t="inlineStr">
        <is>
          <t>가능</t>
        </is>
      </c>
      <c r="I17" s="240" t="n">
        <v>0.1369398798238151</v>
      </c>
      <c r="J17" s="240" t="n">
        <v>0.05545040585440161</v>
      </c>
      <c r="K17" s="240" t="n">
        <v>0.03296246624475281</v>
      </c>
      <c r="L17" s="177" t="inlineStr">
        <is>
          <t>27.6 / N/A / 0.84</t>
        </is>
      </c>
      <c r="M17" s="178" t="inlineStr">
        <is>
          <t>글로벌부문 — 화약 · 유도무기 / 건설부문 / 매출 7.0%(화약 0.9% · 무역 2.4% · 건설 3.6%)</t>
        </is>
      </c>
      <c r="N17" s="178" t="inlineStr">
        <is>
          <t>한화에어로스페이스 지분 32.2%(→한화오션) · 한화솔루션 36.2% · 한화생명 43.2% / 매출 금융 42.7% · 화약·방산 20.9% · 조선 19.5%</t>
        </is>
      </c>
      <c r="O17" s="5" t="inlineStr">
        <is>
          <t>부채를 빼도 지분가치가 시가총액의 2.51배로 16곳 중 가장 크다. 다만 순차입금이 시가총액의 66%라 자회사가 내리면 더 크게 내리고, 6개월간 할인이 28% 좁혀져 남은 폭이 줄었다.</t>
        </is>
      </c>
      <c r="P17" s="5" t="inlineStr">
        <is>
          <t>DART 사업보고서 FY22~25(연결), FnGuide · 2026-09-15</t>
        </is>
      </c>
      <c r="Q17" s="5" t="inlineStr">
        <is>
          <t>보류</t>
        </is>
      </c>
      <c r="R17" s="185" t="inlineStr">
        <is>
          <t>N/A</t>
        </is>
      </c>
      <c r="S17" s="185" t="inlineStr">
        <is>
          <t>N/A</t>
        </is>
      </c>
      <c r="T17" s="185" t="inlineStr">
        <is>
          <t>N/A</t>
        </is>
      </c>
      <c r="U17" s="241" t="n">
        <v>0.659</v>
      </c>
      <c r="V17" s="179" t="n">
        <v>2.51</v>
      </c>
      <c r="W17" s="242" t="n">
        <v>22</v>
      </c>
    </row>
    <row r="18" ht="58" customHeight="1">
      <c r="A18" s="14" t="inlineStr">
        <is>
          <t>해운·음식료</t>
        </is>
      </c>
      <c r="B18" s="175" t="inlineStr">
        <is>
          <t>하림지주</t>
        </is>
      </c>
      <c r="C18" s="15" t="inlineStr">
        <is>
          <t>003380</t>
        </is>
      </c>
      <c r="D18" s="16" t="n">
        <v>11240</v>
      </c>
      <c r="E18" s="218" t="n">
        <v>1.258943</v>
      </c>
      <c r="F18" s="18" t="n">
        <v>0.0002363725767789877</v>
      </c>
      <c r="G18" s="219" t="n">
        <v>0.002379893304936103</v>
      </c>
      <c r="H18" s="15" t="inlineStr">
        <is>
          <t>가능</t>
        </is>
      </c>
      <c r="I18" s="243" t="n">
        <v>-0.013748965236276</v>
      </c>
      <c r="J18" s="243" t="n">
        <v>0.0671535974133409</v>
      </c>
      <c r="K18" s="243" t="n">
        <v>0.07290918412375168</v>
      </c>
      <c r="L18" s="183" t="inlineStr">
        <is>
          <t>4.8 / 3.6 / 0.34</t>
        </is>
      </c>
      <c r="M18" s="178" t="inlineStr">
        <is>
          <t>지주·투자 — 매출 0.7%</t>
        </is>
      </c>
      <c r="N18" s="178" t="inlineStr">
        <is>
          <t>팬오션 지분 54.7% — 벌크 해운 · 하림 57.4% — 육계 / 매출 운송 36.8% · 식품 27.1% · 사료·축산 25.9%</t>
        </is>
      </c>
      <c r="O18" s="25" t="inlineStr">
        <is>
          <t>순차입금이 시가총액의 96%다. 상장 지분에서 이를 빼면 6,636억인데 시가총액은 1조 2,309억이라 값의 대부분이 하림산업 등 비상장에 걸려 있다. 시장은 그 장부가 1조 6,559억을 34%로 본다.</t>
        </is>
      </c>
      <c r="P18" s="25" t="inlineStr">
        <is>
          <t>DART 사업보고서 FY22~25(연결), FnGuide · 2026-09-15</t>
        </is>
      </c>
      <c r="Q18" s="25" t="inlineStr">
        <is>
          <t>탈락</t>
        </is>
      </c>
      <c r="R18" s="179" t="n">
        <v>-0.52</v>
      </c>
      <c r="S18" s="179" t="n">
        <v>-1.25</v>
      </c>
      <c r="T18" s="179" t="n">
        <v>-0.24</v>
      </c>
      <c r="U18" s="241" t="n">
        <v>0.957</v>
      </c>
      <c r="V18" s="179" t="n">
        <v>0.54</v>
      </c>
      <c r="W18" s="242" t="n">
        <v>6.5</v>
      </c>
    </row>
    <row r="19" ht="58" customHeight="1">
      <c r="A19" s="14" t="inlineStr">
        <is>
          <t>화학</t>
        </is>
      </c>
      <c r="B19" s="14" t="inlineStr">
        <is>
          <t>DL</t>
        </is>
      </c>
      <c r="C19" s="15" t="inlineStr">
        <is>
          <t>000210</t>
        </is>
      </c>
      <c r="D19" s="16" t="n">
        <v>53500</v>
      </c>
      <c r="E19" s="218" t="n">
        <v>1.12114</v>
      </c>
      <c r="F19" s="18" t="n">
        <v>0.0002104994036505181</v>
      </c>
      <c r="G19" s="219" t="n">
        <v>0.01132778396922434</v>
      </c>
      <c r="H19" s="15" t="inlineStr">
        <is>
          <t>가능</t>
        </is>
      </c>
      <c r="I19" s="240" t="n">
        <v>0.009762822089604661</v>
      </c>
      <c r="J19" s="240" t="n">
        <v>0.05604686695221426</v>
      </c>
      <c r="K19" s="240" t="n">
        <v>-0.02165066429808694</v>
      </c>
      <c r="L19" s="177" t="inlineStr">
        <is>
          <t>적자 / 4.5 / 0.30</t>
        </is>
      </c>
      <c r="M19" s="178" t="inlineStr">
        <is>
          <t>지주사업 — 배당 · 브랜드 사용 매출 3.1%</t>
        </is>
      </c>
      <c r="N19" s="178" t="inlineStr">
        <is>
          <t>DL케미칼 지분 88.9%(PE·Kraton) · DL이앤씨 23.2% — 건설 · 지분법 / 매출 제조 90.5% · 투자·기타 6.3% · 에너지 3.2%(지분 70%)</t>
        </is>
      </c>
      <c r="O19" s="5" t="inlineStr">
        <is>
          <t>DL케미칼 88.9% 지분의 장부가 1조 7,808억을 시장이 인정하지 않는다. 6개월간 DL이앤씨가 80% 올랐는데 주가는 16%만 올랐고 FY25 지배순손실이 그 근거다.</t>
        </is>
      </c>
      <c r="P19" s="5" t="inlineStr">
        <is>
          <t>DART 사업보고서 FY22~25(연결), FnGuide · 2026-09-15</t>
        </is>
      </c>
      <c r="Q19" s="5" t="inlineStr">
        <is>
          <t>탈락</t>
        </is>
      </c>
      <c r="R19" s="179" t="n">
        <v>-0.51</v>
      </c>
      <c r="S19" s="179" t="n">
        <v>-0.1</v>
      </c>
      <c r="T19" s="179" t="n">
        <v>-0.05</v>
      </c>
      <c r="U19" s="241" t="n">
        <v>0.062</v>
      </c>
      <c r="V19" s="179" t="n">
        <v>0.62</v>
      </c>
      <c r="W19" s="242" t="n">
        <v>7.5</v>
      </c>
    </row>
    <row r="20" ht="58" customHeight="1">
      <c r="A20" s="30" t="inlineStr">
        <is>
          <t>화학</t>
        </is>
      </c>
      <c r="B20" s="186" t="inlineStr">
        <is>
          <t>SK디스커버리</t>
        </is>
      </c>
      <c r="C20" s="31" t="inlineStr">
        <is>
          <t>006120</t>
        </is>
      </c>
      <c r="D20" s="32" t="n">
        <v>56900</v>
      </c>
      <c r="E20" s="220" t="n">
        <v>0.990842</v>
      </c>
      <c r="F20" s="34" t="n">
        <v>0.0001860353302102206</v>
      </c>
      <c r="G20" s="221" t="n">
        <v>0.01204768052053953</v>
      </c>
      <c r="H20" s="31" t="inlineStr">
        <is>
          <t>가능</t>
        </is>
      </c>
      <c r="I20" s="244" t="n">
        <v>0.05252113107980039</v>
      </c>
      <c r="J20" s="244" t="n">
        <v>0.03555224930341028</v>
      </c>
      <c r="K20" s="244" t="n">
        <v>0.04490772355358494</v>
      </c>
      <c r="L20" s="188" t="inlineStr">
        <is>
          <t>8.2 / N/A / 0.36</t>
        </is>
      </c>
      <c r="M20" s="189" t="inlineStr">
        <is>
          <t>투자부문 — 매출 0.6%</t>
        </is>
      </c>
      <c r="N20" s="189" t="inlineStr">
        <is>
          <t>SK케미칼 지분 40.8%(→SK바이오사이언스) · SK가스 72.1% / 매출 SK가스 92.0% · 화학 15.3% · Life Science 11.2%</t>
        </is>
      </c>
      <c r="O20" s="36" t="inlineStr">
        <is>
          <t>부채를 빼도 지분가치가 시가총액의 1.93배다. 추정기관이 없어 컨센서스가 만들어지지 않은 구간이다. 다만 순차입금이 시가총액의 66%이고 6개월간 자회사가 5.6%밖에 오르지 않았다.</t>
        </is>
      </c>
      <c r="P20" s="36" t="inlineStr">
        <is>
          <t>DART 사업보고서 FY22~25(연결), FnGuide · 2026-09-15</t>
        </is>
      </c>
      <c r="Q20" s="36" t="inlineStr">
        <is>
          <t>Top2</t>
        </is>
      </c>
      <c r="R20" s="179" t="n">
        <v>-0.79</v>
      </c>
      <c r="S20" s="179" t="n">
        <v>-0.52</v>
      </c>
      <c r="T20" s="179" t="n">
        <v>0.27</v>
      </c>
      <c r="U20" s="241" t="n">
        <v>0.655</v>
      </c>
      <c r="V20" s="179" t="n">
        <v>1.93</v>
      </c>
      <c r="W20" s="242" t="n">
        <v>8.9</v>
      </c>
    </row>
    <row r="22" ht="22" customHeight="1">
      <c r="A22" s="37" t="inlineStr">
        <is>
          <t>선정 결과</t>
        </is>
      </c>
      <c r="B22" s="37" t="n"/>
      <c r="C22" s="37" t="n"/>
      <c r="D22" s="37" t="n"/>
      <c r="E22" s="37" t="n"/>
      <c r="F22" s="37" t="n"/>
      <c r="G22" s="37" t="n"/>
      <c r="H22" s="37" t="n"/>
      <c r="I22" s="37" t="n"/>
      <c r="J22" s="37" t="n"/>
      <c r="K22" s="37" t="n"/>
      <c r="L22" s="37" t="n"/>
      <c r="M22" s="37" t="n"/>
      <c r="N22" s="37" t="n"/>
      <c r="O22" s="37" t="n"/>
      <c r="P22" s="37" t="n"/>
      <c r="Q22" s="37" t="n"/>
    </row>
    <row r="23" ht="29" customHeight="1">
      <c r="A23" s="4" t="inlineStr">
        <is>
          <t>Top 1</t>
        </is>
      </c>
      <c r="B23" s="8" t="inlineStr">
        <is>
          <t>HD현대</t>
        </is>
      </c>
      <c r="C23" s="117" t="inlineStr">
        <is>
          <t>순차입금이 시가총액의 1.2%로 2팀에서 가장 적고 6개월 할인 변동도 2.0%에 그쳐 값이 흔들릴 여지가 작다. ROE 10.2%는 10종목 중 가장 높고 Fwd12M은 4.4배다.
자회사 세 곳이 모두 팀2 조선·전력기기 시트 종목이다. 팀 전체로 보면 같은 업종을 두 번 담게 되므로 비중을 함께 정해야 한다.</t>
        </is>
      </c>
      <c r="D23" s="40" t="n"/>
      <c r="E23" s="40" t="n"/>
      <c r="F23" s="40" t="n"/>
      <c r="G23" s="40" t="n"/>
      <c r="H23" s="40" t="n"/>
      <c r="I23" s="40" t="n"/>
      <c r="J23" s="40" t="n"/>
      <c r="K23" s="40" t="n"/>
      <c r="L23" s="40" t="n"/>
      <c r="M23" s="40" t="n"/>
      <c r="N23" s="40" t="n"/>
      <c r="O23" s="40" t="n"/>
      <c r="P23" s="40" t="n"/>
      <c r="Q23" s="9" t="n"/>
    </row>
    <row r="24" ht="29" customHeight="1">
      <c r="A24" s="4" t="inlineStr">
        <is>
          <t>Top 2</t>
        </is>
      </c>
      <c r="B24" s="8" t="inlineStr">
        <is>
          <t>SK디스커버리</t>
        </is>
      </c>
      <c r="C24" s="5" t="inlineStr">
        <is>
          <t>부채를 빼도 지분가치가 시가총액의 1.93배로 2팀 2위이고 PBR 0.36배는 10종목 중 가장 낮다. 추정기관이 없어 컨센서스 자체가 만들어지지 않은 구간이다.
순차입금이 시가총액의 66%라 자회사가 내리면 더 크게 내린다. 6개월간 자회사가 5.6%밖에 오르지 않아 오를 근거는 SK가스 쪽에서 따로 확인해야 한다.</t>
        </is>
      </c>
      <c r="D24" s="40" t="n"/>
      <c r="E24" s="40" t="n"/>
      <c r="F24" s="40" t="n"/>
      <c r="G24" s="40" t="n"/>
      <c r="H24" s="40" t="n"/>
      <c r="I24" s="40" t="n"/>
      <c r="J24" s="40" t="n"/>
      <c r="K24" s="40" t="n"/>
      <c r="L24" s="40" t="n"/>
      <c r="M24" s="40" t="n"/>
      <c r="N24" s="40" t="n"/>
      <c r="O24" s="40" t="n"/>
      <c r="P24" s="40" t="n"/>
      <c r="Q24" s="9" t="n"/>
    </row>
    <row r="25" ht="29" customHeight="1">
      <c r="A25" s="4" t="inlineStr">
        <is>
          <t>Top 3</t>
        </is>
      </c>
      <c r="B25" s="8" t="inlineStr">
        <is>
          <t>LS</t>
        </is>
      </c>
      <c r="C25" s="5" t="inlineStr">
        <is>
          <t>부채를 빼도 지분가치가 시가총액의 1.45배로 HD현대와 같은 수준이고 순차입금은 8.3%로 적다. 주가 Z는 52주 −0.30·6개월 +0.03·1개월 −0.64로 아직 오르지 않았다.
LS ELECTRIC 한 곳이 지분가치 전부이고 그 값이 Fwd12M 58.7배·PBR 12.69배다. 1년간 할인이 48% 벌어진 것은 시장이 이 배수를 지주까지 인정하지 않는다는 뜻이다.</t>
        </is>
      </c>
      <c r="D25" s="40" t="n"/>
      <c r="E25" s="40" t="n"/>
      <c r="F25" s="40" t="n"/>
      <c r="G25" s="40" t="n"/>
      <c r="H25" s="40" t="n"/>
      <c r="I25" s="40" t="n"/>
      <c r="J25" s="40" t="n"/>
      <c r="K25" s="40" t="n"/>
      <c r="L25" s="40" t="n"/>
      <c r="M25" s="40" t="n"/>
      <c r="N25" s="40" t="n"/>
      <c r="O25" s="40" t="n"/>
      <c r="P25" s="40" t="n"/>
      <c r="Q25" s="9" t="n"/>
    </row>
    <row r="26" ht="29" customHeight="1">
      <c r="A26" s="4" t="inlineStr">
        <is>
          <t>탈락 1</t>
        </is>
      </c>
      <c r="B26" s="8" t="inlineStr">
        <is>
          <t>두산</t>
        </is>
      </c>
      <c r="C26" s="117" t="inlineStr">
        <is>
          <t>6개월간 두산에너빌리티가 19% 내렸는데 주가는 18% 올랐다. 자회사가 아니라 자체 전자사업에 붙은 값이고, 그 값이 Fwd12M 37.7배·PBR 14.75배로 10종목 중 가장 비싸다.
1주 1,289,000원이 팀 예산의 27.3%여서 최소 단위만 담아도 한 종목 비중이 지나치게 커진다. 자체 재료도 팀1 이수페타시스·대덕전자와 겹친다.</t>
        </is>
      </c>
      <c r="D26" s="40" t="n"/>
      <c r="E26" s="40" t="n"/>
      <c r="F26" s="40" t="n"/>
      <c r="G26" s="40" t="n"/>
      <c r="H26" s="40" t="n"/>
      <c r="I26" s="40" t="n"/>
      <c r="J26" s="40" t="n"/>
      <c r="K26" s="40" t="n"/>
      <c r="L26" s="40" t="n"/>
      <c r="M26" s="40" t="n"/>
      <c r="N26" s="40" t="n"/>
      <c r="O26" s="40" t="n"/>
      <c r="P26" s="40" t="n"/>
      <c r="Q26" s="9" t="n"/>
    </row>
    <row r="27" ht="29" customHeight="1">
      <c r="A27" s="4" t="inlineStr">
        <is>
          <t>탈락 2</t>
        </is>
      </c>
      <c r="B27" s="8" t="inlineStr">
        <is>
          <t>하림지주</t>
        </is>
      </c>
      <c r="C27" s="5" t="inlineStr">
        <is>
          <t>순차입금이 시가총액의 96%다. 상장 지분에서 이를 빼면 6,636억인데 시가총액은 1조 2,309억이라 값의 대부분이 하림산업 등 비상장에 걸려 있다.
시장은 그 장부가 1조 6,559억을 34%로만 보고 있다. 팬오션이 6개월간 올랐는데도 주가가 26.8% 내린 것이 그 결과다.</t>
        </is>
      </c>
      <c r="D27" s="40" t="n"/>
      <c r="E27" s="40" t="n"/>
      <c r="F27" s="40" t="n"/>
      <c r="G27" s="40" t="n"/>
      <c r="H27" s="40" t="n"/>
      <c r="I27" s="40" t="n"/>
      <c r="J27" s="40" t="n"/>
      <c r="K27" s="40" t="n"/>
      <c r="L27" s="40" t="n"/>
      <c r="M27" s="40" t="n"/>
      <c r="N27" s="40" t="n"/>
      <c r="O27" s="40" t="n"/>
      <c r="P27" s="40" t="n"/>
      <c r="Q27" s="9" t="n"/>
    </row>
    <row r="28" ht="29" customHeight="1">
      <c r="A28" s="4" t="inlineStr">
        <is>
          <t>탈락 3</t>
        </is>
      </c>
      <c r="B28" s="8" t="inlineStr">
        <is>
          <t>DL</t>
        </is>
      </c>
      <c r="C28" s="5" t="inlineStr">
        <is>
          <t>DL케미칼 88.9% 지분의 장부가 1조 7,808억을 시장이 인정하지 않는다. 6개월간 DL이앤씨가 80% 올랐는데 주가는 16%만 올랐고 1년 내내 같은 방향이었다.
FY25 지배순손실로 ROE −2.2%이고 PER은 산출되지 않는다. PBR 0.30배는 이익 없이 장부가에만 기댄 값이다.</t>
        </is>
      </c>
      <c r="D28" s="40" t="n"/>
      <c r="E28" s="40" t="n"/>
      <c r="F28" s="40" t="n"/>
      <c r="G28" s="40" t="n"/>
      <c r="H28" s="40" t="n"/>
      <c r="I28" s="40" t="n"/>
      <c r="J28" s="40" t="n"/>
      <c r="K28" s="40" t="n"/>
      <c r="L28" s="40" t="n"/>
      <c r="M28" s="40" t="n"/>
      <c r="N28" s="40" t="n"/>
      <c r="O28" s="40" t="n"/>
      <c r="P28" s="40" t="n"/>
      <c r="Q28" s="9" t="n"/>
    </row>
    <row r="29" ht="29" customHeight="1">
      <c r="A29" s="4" t="inlineStr">
        <is>
          <t>탈락 4</t>
        </is>
      </c>
      <c r="B29" s="8" t="inlineStr">
        <is>
          <t>한진칼</t>
        </is>
      </c>
      <c r="C29" s="5" t="inlineStr">
        <is>
          <t>영업이익률 −2.5%로 10종목 중 유일하게 영업적자다. PER 59.7배·PBR 2.78배이고 추정기관이 없어 앞으로의 이익을 확인할 수 없다.
대한항공 지분가치에서 부채를 빼면 시가총액의 0.28배뿐이다. 나머지 72%는 시트 안 수치로 값을 확인할 방법이 없다.</t>
        </is>
      </c>
      <c r="D29" s="40" t="n"/>
      <c r="E29" s="40" t="n"/>
      <c r="F29" s="40" t="n"/>
      <c r="G29" s="40" t="n"/>
      <c r="H29" s="40" t="n"/>
      <c r="I29" s="40" t="n"/>
      <c r="J29" s="40" t="n"/>
      <c r="K29" s="40" t="n"/>
      <c r="L29" s="40" t="n"/>
      <c r="M29" s="40" t="n"/>
      <c r="N29" s="40" t="n"/>
      <c r="O29" s="40" t="n"/>
      <c r="P29" s="40" t="n"/>
      <c r="Q29" s="9" t="n"/>
    </row>
    <row r="30" ht="29" customHeight="1">
      <c r="A30" s="42" t="inlineStr">
        <is>
          <t>탈락 5</t>
        </is>
      </c>
      <c r="B30" s="43" t="inlineStr">
        <is>
          <t>GS</t>
        </is>
      </c>
      <c r="C30" s="44" t="inlineStr">
        <is>
          <t>시가총액 10.6조의 88%가 GS에너지(장부가 3조 4,993억) 등 비상장이라 지분가치로 값을 매길 수 없다. 상장분은 시가총액의 0.12배에 그친다.
매출은 3년간 연 4.1% 줄었고 FY27 예상 순이익이 FY26보다 42% 적다. 1년간 주가가 139% 오른 근거를 시트 안 수치로는 설명할 수 없다.</t>
        </is>
      </c>
      <c r="D30" s="45" t="n"/>
      <c r="E30" s="45" t="n"/>
      <c r="F30" s="45" t="n"/>
      <c r="G30" s="45" t="n"/>
      <c r="H30" s="45" t="n"/>
      <c r="I30" s="45" t="n"/>
      <c r="J30" s="45" t="n"/>
      <c r="K30" s="45" t="n"/>
      <c r="L30" s="45" t="n"/>
      <c r="M30" s="45" t="n"/>
      <c r="N30" s="45" t="n"/>
      <c r="O30" s="45" t="n"/>
      <c r="P30" s="45" t="n"/>
      <c r="Q30" s="46" t="n"/>
    </row>
  </sheetData>
  <mergeCells count="18">
    <mergeCell ref="C29:Q29"/>
    <mergeCell ref="C30:Q30"/>
    <mergeCell ref="E4:F4"/>
    <mergeCell ref="C25:Q25"/>
    <mergeCell ref="C24:Q24"/>
    <mergeCell ref="B4:C4"/>
    <mergeCell ref="B5:C5"/>
    <mergeCell ref="A7:Q7"/>
    <mergeCell ref="C28:Q28"/>
    <mergeCell ref="C27:Q27"/>
    <mergeCell ref="E5:F5"/>
    <mergeCell ref="K5:L5"/>
    <mergeCell ref="H5:I5"/>
    <mergeCell ref="R9:T9"/>
    <mergeCell ref="C23:Q23"/>
    <mergeCell ref="H4:I4"/>
    <mergeCell ref="U9:W9"/>
    <mergeCell ref="C26:Q26"/>
  </mergeCells>
  <dataValidations count="1">
    <dataValidation sqref="Q11:Q20" showDropDown="0" showInputMessage="0" showErrorMessage="0" allowBlank="1" type="list">
      <formula1>"Top1,Top2,Top3,보류,탈락"</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7"/>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6" customWidth="1" min="2" max="2"/>
    <col width="8" customWidth="1" min="3" max="3"/>
    <col width="10" customWidth="1" min="4" max="4"/>
    <col width="11" customWidth="1" min="5" max="5"/>
    <col width="10" customWidth="1" min="6" max="6"/>
    <col width="11" customWidth="1" min="7" max="7"/>
    <col width="10" customWidth="1" min="8" max="8"/>
    <col width="12" customWidth="1" min="9" max="9"/>
    <col width="10" customWidth="1" min="10" max="10"/>
    <col width="9" customWidth="1" min="11" max="11"/>
    <col width="11" customWidth="1" min="12" max="12"/>
    <col width="22" customWidth="1" min="13" max="13"/>
    <col width="26" customWidth="1" min="14" max="14"/>
    <col width="34" customWidth="1" min="15" max="15"/>
    <col width="18" customWidth="1" min="16" max="16"/>
    <col width="9" customWidth="1" min="17" max="17"/>
    <col width="9" customWidth="1" min="18" max="18"/>
    <col width="9" customWidth="1" min="19" max="19"/>
    <col width="9" customWidth="1" min="20" max="20"/>
    <col width="11" customWidth="1" min="21" max="21"/>
    <col width="9" customWidth="1" min="22" max="22"/>
    <col width="12" customWidth="1" min="23" max="23"/>
  </cols>
  <sheetData>
    <row r="1" ht="22" customHeight="1">
      <c r="A1" s="1" t="inlineStr">
        <is>
          <t>지주 — 테크·전동화</t>
        </is>
      </c>
    </row>
    <row r="2">
      <c r="A2" s="2" t="inlineStr">
        <is>
          <t>ICOK Fund 26-2  ·  담당 산업 스크리닝</t>
        </is>
      </c>
    </row>
    <row r="3" ht="3" customHeight="1">
      <c r="A3" s="3" t="n"/>
      <c r="B3" s="3" t="n"/>
      <c r="C3" s="3" t="n"/>
      <c r="D3" s="3" t="n"/>
      <c r="E3" s="3" t="n"/>
      <c r="F3" s="3" t="n"/>
      <c r="G3" s="3" t="n"/>
      <c r="H3" s="3" t="n"/>
      <c r="I3" s="3" t="n"/>
      <c r="J3" s="3" t="n"/>
      <c r="K3" s="3" t="n"/>
      <c r="L3" s="3" t="n"/>
      <c r="M3" s="3" t="n"/>
      <c r="N3" s="3" t="n"/>
      <c r="O3" s="3" t="n"/>
      <c r="P3" s="3" t="n"/>
      <c r="Q3" s="3" t="n"/>
    </row>
    <row r="4" ht="17" customHeight="1">
      <c r="A4" s="4" t="inlineStr">
        <is>
          <t>팀</t>
        </is>
      </c>
      <c r="B4" s="8" t="inlineStr">
        <is>
          <t>팀 1 · 테크·전동화</t>
        </is>
      </c>
      <c r="C4" s="9" t="n"/>
      <c r="D4" s="4" t="inlineStr">
        <is>
          <t>담당자</t>
        </is>
      </c>
      <c r="E4" s="8" t="n"/>
      <c r="F4" s="9" t="n"/>
      <c r="G4" s="4" t="inlineStr">
        <is>
          <t>제출일</t>
        </is>
      </c>
      <c r="H4" s="8" t="n"/>
      <c r="I4" s="9" t="n"/>
    </row>
    <row r="5" ht="17" customHeight="1">
      <c r="A5" s="4" t="inlineStr">
        <is>
          <t>지수 비중</t>
        </is>
      </c>
      <c r="B5" s="8" t="inlineStr">
        <is>
          <t>2.98%</t>
        </is>
      </c>
      <c r="C5" s="9" t="n"/>
      <c r="D5" s="4" t="inlineStr">
        <is>
          <t>배정액</t>
        </is>
      </c>
      <c r="E5" s="8" t="inlineStr">
        <is>
          <t>833,191원</t>
        </is>
      </c>
      <c r="F5" s="9" t="n"/>
      <c r="G5" s="4" t="inlineStr">
        <is>
          <t>종목 수</t>
        </is>
      </c>
      <c r="H5" s="8" t="inlineStr">
        <is>
          <t>7</t>
        </is>
      </c>
      <c r="I5" s="9" t="n"/>
      <c r="J5" s="4" t="inlineStr">
        <is>
          <t>기준일</t>
        </is>
      </c>
      <c r="K5" s="8" t="inlineStr">
        <is>
          <t>2026-09-15</t>
        </is>
      </c>
      <c r="L5" s="9" t="n"/>
    </row>
    <row r="7" ht="15" customHeight="1">
      <c r="A7" s="169" t="inlineStr">
        <is>
          <t>순수지주를 재료 기준으로 묶었다. 하위 테마·주요 제품(자체 사업)·보유 자회사는 기입 완료 항목이다. 지주의 재료는 자체 사업과 보유 자회사 두 갈래이며, 자체 사업이 있는 지주는 그쪽이 주가를 먼저 움직인다. SK스퀘어는 SK하이닉스 룩스루 배수가 1.8배이므로 편입 시 펀드 전체의 SK하이닉스 노출을 함께 계산한다. 한화머시너리앤서비스홀딩스는 2026-08-01 (주)한화 인적분할로 신설된 지주이며, 한화비전 → 한화세미텍(HBM TC본더)으로 2단 룩스루가 걸린다 — 같은 팀의 한화비전과 합산 노출을 확인한다.</t>
        </is>
      </c>
    </row>
    <row r="8">
      <c r="A8" s="2" t="inlineStr">
        <is>
          <t>음영 셀은 기입 완료. 흰색 셀만 작성한다.</t>
        </is>
      </c>
    </row>
    <row r="9">
      <c r="R9" s="170" t="inlineStr">
        <is>
          <t>상대 주가 Z-Score</t>
        </is>
      </c>
      <c r="S9" s="171" t="n"/>
      <c r="T9" s="172" t="n"/>
      <c r="U9" s="170" t="inlineStr">
        <is>
          <t>순차입금 반영</t>
        </is>
      </c>
      <c r="V9" s="171" t="n"/>
      <c r="W9" s="172" t="n"/>
    </row>
    <row r="10" ht="29" customHeight="1">
      <c r="A10" s="11" t="inlineStr">
        <is>
          <t>하위 테마</t>
        </is>
      </c>
      <c r="B10" s="11" t="inlineStr">
        <is>
          <t>기업명</t>
        </is>
      </c>
      <c r="C10" s="11" t="inlineStr">
        <is>
          <t>코드</t>
        </is>
      </c>
      <c r="D10" s="11" t="inlineStr">
        <is>
          <t>주가</t>
        </is>
      </c>
      <c r="E10" s="11" t="inlineStr">
        <is>
          <t>시가총액(조)</t>
        </is>
      </c>
      <c r="F10" s="11" t="inlineStr">
        <is>
          <t>지수 비중</t>
        </is>
      </c>
      <c r="G10" s="11" t="inlineStr">
        <is>
          <t>1주 / 팀예산</t>
        </is>
      </c>
      <c r="H10" s="11" t="inlineStr">
        <is>
          <t>매수 판정</t>
        </is>
      </c>
      <c r="I10" s="11" t="inlineStr">
        <is>
          <t>매출 CAGR(3Y)</t>
        </is>
      </c>
      <c r="J10" s="11" t="inlineStr">
        <is>
          <t>영업이익률</t>
        </is>
      </c>
      <c r="K10" s="11" t="inlineStr">
        <is>
          <t>ROE</t>
        </is>
      </c>
      <c r="L10" s="173" t="inlineStr">
        <is>
          <t>PER / Fwd12M / PBR</t>
        </is>
      </c>
      <c r="M10" s="11" t="inlineStr">
        <is>
          <t>주요 제품</t>
        </is>
      </c>
      <c r="N10" s="11" t="inlineStr">
        <is>
          <t>시장 포지셔닝</t>
        </is>
      </c>
      <c r="O10" s="11" t="inlineStr">
        <is>
          <t>투자포인트 / 탈락 사유</t>
        </is>
      </c>
      <c r="P10" s="11" t="inlineStr">
        <is>
          <t>출처 · 기준일</t>
        </is>
      </c>
      <c r="Q10" s="11" t="inlineStr">
        <is>
          <t>판정</t>
        </is>
      </c>
      <c r="R10" s="174" t="inlineStr">
        <is>
          <t>52주 Z</t>
        </is>
      </c>
      <c r="S10" s="174" t="inlineStr">
        <is>
          <t>6M Z</t>
        </is>
      </c>
      <c r="T10" s="174" t="inlineStr">
        <is>
          <t>1M Z</t>
        </is>
      </c>
      <c r="U10" s="174" t="inlineStr">
        <is>
          <t>순차입/시총</t>
        </is>
      </c>
      <c r="V10" s="174" t="inlineStr">
        <is>
          <t>조정 배수</t>
        </is>
      </c>
      <c r="W10" s="174" t="inlineStr">
        <is>
          <t>자회사 Fwd12M</t>
        </is>
      </c>
    </row>
    <row r="11" ht="72.5" customHeight="1">
      <c r="A11" s="14" t="inlineStr">
        <is>
          <t>반도체·AI</t>
        </is>
      </c>
      <c r="B11" s="175" t="inlineStr">
        <is>
          <t>SK스퀘어</t>
        </is>
      </c>
      <c r="C11" s="15" t="inlineStr">
        <is>
          <t>402340</t>
        </is>
      </c>
      <c r="D11" s="16" t="n">
        <v>1000000</v>
      </c>
      <c r="E11" s="218" t="n">
        <v>131.923998</v>
      </c>
      <c r="F11" s="18" t="n">
        <v>0.02476936235099287</v>
      </c>
      <c r="G11" s="219" t="n">
        <v>0.2062272986569831</v>
      </c>
      <c r="H11" s="15" t="inlineStr">
        <is>
          <t>가능</t>
        </is>
      </c>
      <c r="I11" s="240" t="n">
        <v>-0.1587096809505261</v>
      </c>
      <c r="J11" s="177" t="inlineStr">
        <is>
          <t>n/m</t>
        </is>
      </c>
      <c r="K11" s="240" t="n">
        <v>0.3781576163601653</v>
      </c>
      <c r="L11" s="177" t="inlineStr">
        <is>
          <t>15.0 / 2.5 / 4.77</t>
        </is>
      </c>
      <c r="M11" s="178" t="inlineStr">
        <is>
          <t>지주사업 — 매출 0.1%</t>
        </is>
      </c>
      <c r="N11" s="178" t="inlineStr">
        <is>
          <t>SK하이닉스 지분 20.1% · 11번가 — 룩스루 배수 1.8배 / 지분 티맵모빌리티 63.2% · SK플래닛 99.5% / 매출 모빌리티 39.2% · 커머스 31.0% · 플랫폼 25.5%</t>
        </is>
      </c>
      <c r="O11" s="5" t="inlineStr">
        <is>
          <t>자회사가 다른 시트와 겹치지 않는 유일한 지주다. 순현금이고 1년 할인 변동이 2.2%로 가장 작다. 다만 SK하이닉스 한 곳뿐이라 그 주가가 그대로 값이 되고, 1년간 406% 올라 이미 반영된 폭이 크다.</t>
        </is>
      </c>
      <c r="P11" s="5" t="inlineStr">
        <is>
          <t>DART 사업보고서 FY22~25(연결), FnGuide · 2026-09-15</t>
        </is>
      </c>
      <c r="Q11" s="5" t="inlineStr">
        <is>
          <t>Top1</t>
        </is>
      </c>
      <c r="R11" s="179" t="n">
        <v>2.58</v>
      </c>
      <c r="S11" s="179" t="n">
        <v>1.76</v>
      </c>
      <c r="T11" s="179" t="n">
        <v>-1.11</v>
      </c>
      <c r="U11" s="241" t="n">
        <v>-0.005</v>
      </c>
      <c r="V11" s="179" t="n">
        <v>1.92</v>
      </c>
      <c r="W11" s="242" t="n">
        <v>5.3</v>
      </c>
    </row>
    <row r="12" ht="58" customHeight="1">
      <c r="A12" s="14" t="inlineStr">
        <is>
          <t>전자·2차전지</t>
        </is>
      </c>
      <c r="B12" s="175" t="inlineStr">
        <is>
          <t>LG</t>
        </is>
      </c>
      <c r="C12" s="15" t="inlineStr">
        <is>
          <t>003550</t>
        </is>
      </c>
      <c r="D12" s="16" t="n">
        <v>114300</v>
      </c>
      <c r="E12" s="218" t="n">
        <v>17.281246</v>
      </c>
      <c r="F12" s="18" t="n">
        <v>0.003244636688850546</v>
      </c>
      <c r="G12" s="219" t="n">
        <v>0.02357178023649316</v>
      </c>
      <c r="H12" s="15" t="inlineStr">
        <is>
          <t>가능</t>
        </is>
      </c>
      <c r="I12" s="243" t="n">
        <v>0.003078006664386956</v>
      </c>
      <c r="J12" s="243" t="n">
        <v>0.1257729181210408</v>
      </c>
      <c r="K12" s="243" t="n">
        <v>0.02642850868261763</v>
      </c>
      <c r="L12" s="183" t="inlineStr">
        <is>
          <t>23.9 / 13.7 / 0.61</t>
        </is>
      </c>
      <c r="M12" s="178" t="inlineStr">
        <is>
          <t>브랜드 로열티 · 임대 / 매출 13%(배당 7% · 로열티 4% · 임대 2%)</t>
        </is>
      </c>
      <c r="N12" s="178" t="inlineStr">
        <is>
          <t>LG전자 지분 35% · LG화학 35%(→LG에너지솔루션) · LG유플러스 38% — 지분법 / LG CNS 지분 45% · 연결 매출 79%</t>
        </is>
      </c>
      <c r="O12" s="25" t="inlineStr">
        <is>
          <t>순현금이고 자회사가 네 곳으로 나뉘어 한 종목에 값이 걸리지 않는다. 1년과 6개월 모두 할인이 좁혀졌다. 매출이 3년간 제자리이고 ROE 2.6%인 점이 약하다.</t>
        </is>
      </c>
      <c r="P12" s="25" t="inlineStr">
        <is>
          <t>DART 사업보고서 FY22~25(연결), FnGuide · 2026-09-15</t>
        </is>
      </c>
      <c r="Q12" s="25" t="inlineStr">
        <is>
          <t>Top3</t>
        </is>
      </c>
      <c r="R12" s="179" t="n">
        <v>-0.42</v>
      </c>
      <c r="S12" s="179" t="n">
        <v>0.17</v>
      </c>
      <c r="T12" s="179" t="n">
        <v>-0.55</v>
      </c>
      <c r="U12" s="241" t="n">
        <v>-0.015</v>
      </c>
      <c r="V12" s="179" t="n">
        <v>1.39</v>
      </c>
      <c r="W12" s="242" t="n">
        <v>13.7</v>
      </c>
    </row>
    <row r="13" ht="58" customHeight="1">
      <c r="A13" s="14" t="inlineStr">
        <is>
          <t>반도체·AI</t>
        </is>
      </c>
      <c r="B13" s="184" t="inlineStr">
        <is>
          <t>피에스케이홀딩스</t>
        </is>
      </c>
      <c r="C13" s="15" t="inlineStr">
        <is>
          <t>031980</t>
        </is>
      </c>
      <c r="D13" s="16" t="n">
        <v>166900</v>
      </c>
      <c r="E13" s="218" t="n">
        <v>3.598764</v>
      </c>
      <c r="F13" s="18" t="n">
        <v>0.0006756851739113342</v>
      </c>
      <c r="G13" s="219" t="n">
        <v>0.03441933614585047</v>
      </c>
      <c r="H13" s="15" t="inlineStr">
        <is>
          <t>가능</t>
        </is>
      </c>
      <c r="I13" s="240" t="n">
        <v>0.4185051398505324</v>
      </c>
      <c r="J13" s="240" t="n">
        <v>0.3532897886474574</v>
      </c>
      <c r="K13" s="240" t="n">
        <v>0.1955233856535864</v>
      </c>
      <c r="L13" s="177" t="inlineStr">
        <is>
          <t>39.3 / 20.7 / 7.11</t>
        </is>
      </c>
      <c r="M13" s="178" t="inlineStr">
        <is>
          <t>반도체 후공정 장비 — 리플로우 · 디스컴 / 매출 88.6%</t>
        </is>
      </c>
      <c r="N13" s="178" t="inlineStr">
        <is>
          <t>피에스케이 지분 32% — 세정·식각 장비 · 지분법 / 기타 매출 11.4%</t>
        </is>
      </c>
      <c r="O13" s="5" t="inlineStr">
        <is>
          <t>매출의 88.6%가 자체 사업이라 지주가 아니라 사업회사로 봐야 한다. 부채를 빼면 지분가치가 시가총액의 0.36배뿐이다. 매출은 3년간 연 41.9% 늘었으나 PBR 7.11배에 주가 Z도 17곳 중 가장 높다.</t>
        </is>
      </c>
      <c r="P13" s="5" t="inlineStr">
        <is>
          <t>DART 사업보고서 FY22~25(연결), FnGuide · 2026-09-15</t>
        </is>
      </c>
      <c r="Q13" s="5" t="inlineStr">
        <is>
          <t>탈락</t>
        </is>
      </c>
      <c r="R13" s="179" t="n">
        <v>1.87</v>
      </c>
      <c r="S13" s="179" t="n">
        <v>1.1</v>
      </c>
      <c r="T13" s="179" t="n">
        <v>3</v>
      </c>
      <c r="U13" s="241" t="n">
        <v>-0.018</v>
      </c>
      <c r="V13" s="179" t="n">
        <v>0.36</v>
      </c>
      <c r="W13" s="242" t="n">
        <v>23.1</v>
      </c>
    </row>
    <row r="14" ht="58" customHeight="1">
      <c r="A14" s="14" t="inlineStr">
        <is>
          <t>자동차·배터리</t>
        </is>
      </c>
      <c r="B14" s="14" t="inlineStr">
        <is>
          <t>한국앤컴퍼니</t>
        </is>
      </c>
      <c r="C14" s="15" t="inlineStr">
        <is>
          <t>000240</t>
        </is>
      </c>
      <c r="D14" s="16" t="n">
        <v>24200</v>
      </c>
      <c r="E14" s="218" t="n">
        <v>2.297433</v>
      </c>
      <c r="F14" s="18" t="n">
        <v>0.0004313540471547004</v>
      </c>
      <c r="G14" s="219" t="n">
        <v>0.004990700627498989</v>
      </c>
      <c r="H14" s="15" t="inlineStr">
        <is>
          <t>가능</t>
        </is>
      </c>
      <c r="I14" s="243" t="n">
        <v>0.09972704578182778</v>
      </c>
      <c r="J14" s="243" t="n">
        <v>0.2824093556340342</v>
      </c>
      <c r="K14" s="243" t="n">
        <v>0.07520707577659157</v>
      </c>
      <c r="L14" s="183" t="inlineStr">
        <is>
          <t>6.6 / 5.6 / 0.48</t>
        </is>
      </c>
      <c r="M14" s="178" t="inlineStr">
        <is>
          <t>납축전지 제조 — 아트라스BX 합병 / 매출 71.2%</t>
        </is>
      </c>
      <c r="N14" s="178" t="inlineStr">
        <is>
          <t>한국타이어앤테크놀로지 지분 30.7% — 지분법 / 투자부문 매출 28.8%</t>
        </is>
      </c>
      <c r="O14" s="25" t="inlineStr">
        <is>
          <t>순현금이고 한국타이어가 Fwd12M 5.8배·PBR 0.56배로 싸다. 1년간 한국타이어가 49% 올랐는데 주가는 1.5%에 그쳤다. 매출의 71.2%가 자체 배터리 사업이라 그쪽을 따로 봐야 한다.</t>
        </is>
      </c>
      <c r="P14" s="25" t="inlineStr">
        <is>
          <t>DART 사업보고서 FY22~25(연결), FnGuide · 2026-09-15</t>
        </is>
      </c>
      <c r="Q14" s="25" t="inlineStr">
        <is>
          <t>Top2</t>
        </is>
      </c>
      <c r="R14" s="179" t="n">
        <v>-0.8100000000000001</v>
      </c>
      <c r="S14" s="179" t="n">
        <v>-0.65</v>
      </c>
      <c r="T14" s="179" t="n">
        <v>-0.75</v>
      </c>
      <c r="U14" s="241" t="n">
        <v>-0.012</v>
      </c>
      <c r="V14" s="179" t="n">
        <v>1</v>
      </c>
      <c r="W14" s="242" t="n">
        <v>5.8</v>
      </c>
    </row>
    <row r="15" ht="58" customHeight="1">
      <c r="A15" s="14" t="inlineStr">
        <is>
          <t>반도체·AI</t>
        </is>
      </c>
      <c r="B15" s="175" t="inlineStr">
        <is>
          <t>원익홀딩스</t>
        </is>
      </c>
      <c r="C15" s="15" t="inlineStr">
        <is>
          <t>030530</t>
        </is>
      </c>
      <c r="D15" s="16" t="n">
        <v>25050</v>
      </c>
      <c r="E15" s="218" t="n">
        <v>1.934811</v>
      </c>
      <c r="F15" s="18" t="n">
        <v>0.0003632700302160859</v>
      </c>
      <c r="G15" s="219" t="n">
        <v>0.005165993831357425</v>
      </c>
      <c r="H15" s="15" t="inlineStr">
        <is>
          <t>가능</t>
        </is>
      </c>
      <c r="I15" s="240" t="n">
        <v>-0.1090906686247181</v>
      </c>
      <c r="J15" s="240" t="n">
        <v>-0.0006711557477730031</v>
      </c>
      <c r="K15" s="240" t="n">
        <v>0.02782827803976193</v>
      </c>
      <c r="L15" s="177" t="inlineStr">
        <is>
          <t>69.8 / N/A / 1.91</t>
        </is>
      </c>
      <c r="M15" s="178" t="inlineStr">
        <is>
          <t>반도체 가스 스크러버 · 특수가스 유통 / 매출 38.0%</t>
        </is>
      </c>
      <c r="N15" s="178" t="inlineStr">
        <is>
          <t>원익IPS 지분 32.9% — 전공정 장비 · 지분법 / 원익머트리얼즈 지분 45.7% · 매출 51.8% · 신사업 6.3%</t>
        </is>
      </c>
      <c r="O15" s="5" t="inlineStr">
        <is>
          <t>영업적자이고 ROE 2.8%·PER 69.8배다. 매출은 3년간 연 10.9% 줄었다. 순차입금이 시가총액의 13.8%이고 추정기관이 없어 앞으로의 이익을 확인할 수 없다.</t>
        </is>
      </c>
      <c r="P15" s="5" t="inlineStr">
        <is>
          <t>DART 사업보고서 FY22~25(연결), FnGuide · 2026-09-15</t>
        </is>
      </c>
      <c r="Q15" s="5" t="inlineStr">
        <is>
          <t>탈락</t>
        </is>
      </c>
      <c r="R15" s="179" t="n">
        <v>0.14</v>
      </c>
      <c r="S15" s="179" t="n">
        <v>-1.06</v>
      </c>
      <c r="T15" s="179" t="n">
        <v>1</v>
      </c>
      <c r="U15" s="241" t="n">
        <v>0.138</v>
      </c>
      <c r="V15" s="179" t="n">
        <v>1.01</v>
      </c>
      <c r="W15" s="242" t="n">
        <v>20.2</v>
      </c>
    </row>
    <row r="16" ht="58" customHeight="1">
      <c r="A16" s="14" t="inlineStr">
        <is>
          <t>반도체·AI</t>
        </is>
      </c>
      <c r="B16" s="14" t="inlineStr">
        <is>
          <t>솔브레인홀딩스</t>
        </is>
      </c>
      <c r="C16" s="15" t="inlineStr">
        <is>
          <t>036830</t>
        </is>
      </c>
      <c r="D16" s="16" t="n">
        <v>41650</v>
      </c>
      <c r="E16" s="218" t="n">
        <v>0.8539909999999999</v>
      </c>
      <c r="F16" s="18" t="n">
        <v>0.0001603408996404638</v>
      </c>
      <c r="G16" s="219" t="n">
        <v>0.008589366989063344</v>
      </c>
      <c r="H16" s="15" t="inlineStr">
        <is>
          <t>가능</t>
        </is>
      </c>
      <c r="I16" s="243" t="n">
        <v>-0.005015022099032262</v>
      </c>
      <c r="J16" s="243" t="n">
        <v>0.015916581618894</v>
      </c>
      <c r="K16" s="243" t="n">
        <v>0.3205968746888245</v>
      </c>
      <c r="L16" s="183" t="inlineStr">
        <is>
          <t>1.7 / N/A / 0.48</t>
        </is>
      </c>
      <c r="M16" s="178" t="inlineStr">
        <is>
          <t>—  2020년 인적분할로 투자사업부문만 남은 순수지주 / 지주부문 매출 0 · 지분법손익 191억</t>
        </is>
      </c>
      <c r="N16" s="178" t="inlineStr">
        <is>
          <t>솔브레인 44.9% — 반도체·디스플레이 공정소재 · 2차전지 전해액 / 바이오헬스케어(연결 매출 11%) / 매출 제품제조 86.1% · 유통·서비스 13.9%</t>
        </is>
      </c>
      <c r="O16" s="25" t="inlineStr">
        <is>
          <t>FY25 이익 대부분이 사업 매각분이다. 계속 사업만 보면 ROE 2.8%·PER 20.0배로 바뀐다. 솔브레인 지분이 시트 44.9%와 공시 31%로 어긋나 확인이 먼저다.</t>
        </is>
      </c>
      <c r="P16" s="25" t="inlineStr">
        <is>
          <t>DART 사업보고서 FY22~25(연결), FnGuide · 2026-09-15</t>
        </is>
      </c>
      <c r="Q16" s="25" t="inlineStr">
        <is>
          <t>보류</t>
        </is>
      </c>
      <c r="R16" s="179" t="n">
        <v>-0.87</v>
      </c>
      <c r="S16" s="179" t="n">
        <v>-1.24</v>
      </c>
      <c r="T16" s="179" t="n">
        <v>0.03</v>
      </c>
      <c r="U16" s="241" t="n">
        <v>-0.152</v>
      </c>
      <c r="V16" s="179" t="n">
        <v>1.11</v>
      </c>
      <c r="W16" s="242" t="n">
        <v>15.1</v>
      </c>
    </row>
    <row r="17" ht="58" customHeight="1">
      <c r="A17" s="30" t="inlineStr">
        <is>
          <t>반도체·AI</t>
        </is>
      </c>
      <c r="B17" s="30" t="inlineStr">
        <is>
          <t>한화머시너리앤서비스홀딩스</t>
        </is>
      </c>
      <c r="C17" s="31" t="inlineStr">
        <is>
          <t>0220W0</t>
        </is>
      </c>
      <c r="D17" s="32" t="n">
        <v>7070</v>
      </c>
      <c r="E17" s="220" t="n">
        <v>0.597525</v>
      </c>
      <c r="F17" s="34" t="n">
        <v>0.0001121881800366376</v>
      </c>
      <c r="G17" s="221" t="n">
        <v>0.00145802700150487</v>
      </c>
      <c r="H17" s="31" t="inlineStr">
        <is>
          <t>가능</t>
        </is>
      </c>
      <c r="I17" s="190" t="inlineStr">
        <is>
          <t>N/A</t>
        </is>
      </c>
      <c r="J17" s="190" t="inlineStr">
        <is>
          <t>N/A</t>
        </is>
      </c>
      <c r="K17" s="190" t="inlineStr">
        <is>
          <t>N/A</t>
        </is>
      </c>
      <c r="L17" s="190" t="inlineStr">
        <is>
          <t>N/A</t>
        </is>
      </c>
      <c r="M17" s="189" t="inlineStr">
        <is>
          <t>—  2026-08-01 (주)한화 인적분할 신설 · 8-25 재상장 / 부문별 매출 비중 N/A(정기보고서 미제출)</t>
        </is>
      </c>
      <c r="N17" s="189" t="inlineStr">
        <is>
          <t>한화비전(→한화세미텍 — HBM TC본더) · 한화모멘텀 · 한화로보틱스 / 한화갤러리아 · 한화호텔앤드리조트 · 아워홈</t>
        </is>
      </c>
      <c r="O17" s="44" t="inlineStr">
        <is>
          <t>2026년 8월 분할로 생겨 첫 사업보고서가 3분기다. 상장 자회사가 없고 거래일도 19일뿐이라 재무와 주가 모두 판단할 자료가 없다.</t>
        </is>
      </c>
      <c r="P17" s="44" t="inlineStr">
        <is>
          <t>DART 사업보고서 FY22~25(연결), FnGuide · 2026-09-15</t>
        </is>
      </c>
      <c r="Q17" s="44" t="inlineStr">
        <is>
          <t>보류</t>
        </is>
      </c>
      <c r="R17" s="185" t="inlineStr">
        <is>
          <t>N/A</t>
        </is>
      </c>
      <c r="S17" s="185" t="inlineStr">
        <is>
          <t>N/A</t>
        </is>
      </c>
      <c r="T17" s="185" t="inlineStr">
        <is>
          <t>N/A</t>
        </is>
      </c>
      <c r="U17" s="185" t="inlineStr">
        <is>
          <t>N/A</t>
        </is>
      </c>
      <c r="V17" s="185" t="inlineStr">
        <is>
          <t>N/A</t>
        </is>
      </c>
      <c r="W17" s="185" t="inlineStr">
        <is>
          <t>N/A</t>
        </is>
      </c>
    </row>
    <row r="19" ht="22" customHeight="1">
      <c r="A19" s="37" t="inlineStr">
        <is>
          <t>선정 결과</t>
        </is>
      </c>
      <c r="B19" s="37" t="n"/>
      <c r="C19" s="37" t="n"/>
      <c r="D19" s="37" t="n"/>
      <c r="E19" s="37" t="n"/>
      <c r="F19" s="37" t="n"/>
      <c r="G19" s="37" t="n"/>
      <c r="H19" s="37" t="n"/>
      <c r="I19" s="37" t="n"/>
      <c r="J19" s="37" t="n"/>
      <c r="K19" s="37" t="n"/>
      <c r="L19" s="37" t="n"/>
      <c r="M19" s="37" t="n"/>
      <c r="N19" s="37" t="n"/>
      <c r="O19" s="37" t="n"/>
      <c r="P19" s="37" t="n"/>
      <c r="Q19" s="37" t="n"/>
    </row>
    <row r="20" ht="29" customHeight="1">
      <c r="A20" s="4" t="inlineStr">
        <is>
          <t>Top 1</t>
        </is>
      </c>
      <c r="B20" s="8" t="inlineStr">
        <is>
          <t>SK스퀘어</t>
        </is>
      </c>
      <c r="C20" s="117" t="inlineStr">
        <is>
          <t>자회사가 다른 시트와 겹치지 않는 유일한 지주다. 순현금이고 1년 할인 변동이 2.2%로 가장 작아 값이 흔들릴 여지가 적다. SK하이닉스는 Fwd12M 5.3배다.
다만 자회사가 한 곳뿐이라 그 주가가 그대로 값이 된다. 1년간 406% 올라 이미 반영된 폭이 크고 매출은 3년간 연 15.9% 줄었다.</t>
        </is>
      </c>
      <c r="D20" s="40" t="n"/>
      <c r="E20" s="40" t="n"/>
      <c r="F20" s="40" t="n"/>
      <c r="G20" s="40" t="n"/>
      <c r="H20" s="40" t="n"/>
      <c r="I20" s="40" t="n"/>
      <c r="J20" s="40" t="n"/>
      <c r="K20" s="40" t="n"/>
      <c r="L20" s="40" t="n"/>
      <c r="M20" s="40" t="n"/>
      <c r="N20" s="40" t="n"/>
      <c r="O20" s="40" t="n"/>
      <c r="P20" s="40" t="n"/>
      <c r="Q20" s="9" t="n"/>
    </row>
    <row r="21" ht="29" customHeight="1">
      <c r="A21" s="4" t="inlineStr">
        <is>
          <t>Top 2</t>
        </is>
      </c>
      <c r="B21" s="8" t="inlineStr">
        <is>
          <t>한국앤컴퍼니</t>
        </is>
      </c>
      <c r="C21" s="5" t="inlineStr">
        <is>
          <t>순현금이고 한국타이어가 Fwd12M 5.8배·PBR 0.56배로 싸다. 주가 Z가 1팀에서 가장 낮아 시장이 아직 값을 올리지 않았다.
1년간 한국타이어가 49% 올랐는데 주가는 1.5%에 그쳤다. 매출의 71.2%가 자체 배터리 사업이라 그쪽을 따로 확인해야 한다.</t>
        </is>
      </c>
      <c r="D21" s="40" t="n"/>
      <c r="E21" s="40" t="n"/>
      <c r="F21" s="40" t="n"/>
      <c r="G21" s="40" t="n"/>
      <c r="H21" s="40" t="n"/>
      <c r="I21" s="40" t="n"/>
      <c r="J21" s="40" t="n"/>
      <c r="K21" s="40" t="n"/>
      <c r="L21" s="40" t="n"/>
      <c r="M21" s="40" t="n"/>
      <c r="N21" s="40" t="n"/>
      <c r="O21" s="40" t="n"/>
      <c r="P21" s="40" t="n"/>
      <c r="Q21" s="9" t="n"/>
    </row>
    <row r="22" ht="29" customHeight="1">
      <c r="A22" s="4" t="inlineStr">
        <is>
          <t>Top 3</t>
        </is>
      </c>
      <c r="B22" s="8" t="inlineStr">
        <is>
          <t>LG</t>
        </is>
      </c>
      <c r="C22" s="5" t="inlineStr">
        <is>
          <t>순현금이고 자회사가 LG전자·LG화학·LG씨엔에스·LG유플러스 네 곳으로 나뉘어 한 종목에 값이 걸리지 않는다. 1년과 6개월 모두 할인이 좁혀졌다.
매출이 3년간 연 0.3%로 제자리이고 ROE 2.6%다. 자회사가 Fwd12M 13.7배로 1팀 위 두 곳보다 비싸다.</t>
        </is>
      </c>
      <c r="D22" s="40" t="n"/>
      <c r="E22" s="40" t="n"/>
      <c r="F22" s="40" t="n"/>
      <c r="G22" s="40" t="n"/>
      <c r="H22" s="40" t="n"/>
      <c r="I22" s="40" t="n"/>
      <c r="J22" s="40" t="n"/>
      <c r="K22" s="40" t="n"/>
      <c r="L22" s="40" t="n"/>
      <c r="M22" s="40" t="n"/>
      <c r="N22" s="40" t="n"/>
      <c r="O22" s="40" t="n"/>
      <c r="P22" s="40" t="n"/>
      <c r="Q22" s="9" t="n"/>
    </row>
    <row r="23" ht="29" customHeight="1">
      <c r="A23" s="4" t="inlineStr">
        <is>
          <t>탈락 1</t>
        </is>
      </c>
      <c r="B23" s="8" t="inlineStr">
        <is>
          <t>피에스케이홀딩스</t>
        </is>
      </c>
      <c r="C23" s="117" t="inlineStr">
        <is>
          <t>매출의 88.6%가 자체 사업이라 지주가 아니라 사업회사다. 부채를 빼도 지분가치가 시가총액의 0.36배뿐이라 지분으로 값을 설명할 수 없다.
매출이 3년간 연 41.9% 늘고 ROE 19.6%로 16곳 중 가장 높지만 PBR 7.11배·Fwd12M 20.7배이고 주가 Z도 17곳 중 가장 높다.</t>
        </is>
      </c>
      <c r="D23" s="40" t="n"/>
      <c r="E23" s="40" t="n"/>
      <c r="F23" s="40" t="n"/>
      <c r="G23" s="40" t="n"/>
      <c r="H23" s="40" t="n"/>
      <c r="I23" s="40" t="n"/>
      <c r="J23" s="40" t="n"/>
      <c r="K23" s="40" t="n"/>
      <c r="L23" s="40" t="n"/>
      <c r="M23" s="40" t="n"/>
      <c r="N23" s="40" t="n"/>
      <c r="O23" s="40" t="n"/>
      <c r="P23" s="40" t="n"/>
      <c r="Q23" s="9" t="n"/>
    </row>
    <row r="24" ht="29" customHeight="1">
      <c r="A24" s="4" t="inlineStr">
        <is>
          <t>탈락 2</t>
        </is>
      </c>
      <c r="B24" s="8" t="inlineStr">
        <is>
          <t>원익홀딩스</t>
        </is>
      </c>
      <c r="C24" s="5" t="inlineStr">
        <is>
          <t>영업이익률 −0.1%로 영업적자이고 ROE 2.8%·PER 69.8배다. 매출은 3년간 연 10.9% 줄었다.
순차입금이 시가총액의 13.8%이고 추정기관이 없어 앞으로의 이익을 확인할 수 없다. 원익IPS 지분가치도 두 자회사 시세를 구하지 못해 하한값이다.</t>
        </is>
      </c>
      <c r="D24" s="40" t="n"/>
      <c r="E24" s="40" t="n"/>
      <c r="F24" s="40" t="n"/>
      <c r="G24" s="40" t="n"/>
      <c r="H24" s="40" t="n"/>
      <c r="I24" s="40" t="n"/>
      <c r="J24" s="40" t="n"/>
      <c r="K24" s="40" t="n"/>
      <c r="L24" s="40" t="n"/>
      <c r="M24" s="40" t="n"/>
      <c r="N24" s="40" t="n"/>
      <c r="O24" s="40" t="n"/>
      <c r="P24" s="40" t="n"/>
      <c r="Q24" s="9" t="n"/>
    </row>
    <row r="25" ht="19" customHeight="1">
      <c r="A25" s="4" t="inlineStr">
        <is>
          <t>탈락 3</t>
        </is>
      </c>
      <c r="B25" s="8" t="n"/>
      <c r="C25" s="5" t="n"/>
      <c r="D25" s="40" t="n"/>
      <c r="E25" s="40" t="n"/>
      <c r="F25" s="40" t="n"/>
      <c r="G25" s="40" t="n"/>
      <c r="H25" s="40" t="n"/>
      <c r="I25" s="40" t="n"/>
      <c r="J25" s="40" t="n"/>
      <c r="K25" s="40" t="n"/>
      <c r="L25" s="40" t="n"/>
      <c r="M25" s="40" t="n"/>
      <c r="N25" s="40" t="n"/>
      <c r="O25" s="40" t="n"/>
      <c r="P25" s="40" t="n"/>
      <c r="Q25" s="9" t="n"/>
    </row>
    <row r="26" ht="19" customHeight="1">
      <c r="A26" s="4" t="inlineStr">
        <is>
          <t>탈락 4</t>
        </is>
      </c>
      <c r="B26" s="8" t="n"/>
      <c r="C26" s="5" t="n"/>
      <c r="D26" s="40" t="n"/>
      <c r="E26" s="40" t="n"/>
      <c r="F26" s="40" t="n"/>
      <c r="G26" s="40" t="n"/>
      <c r="H26" s="40" t="n"/>
      <c r="I26" s="40" t="n"/>
      <c r="J26" s="40" t="n"/>
      <c r="K26" s="40" t="n"/>
      <c r="L26" s="40" t="n"/>
      <c r="M26" s="40" t="n"/>
      <c r="N26" s="40" t="n"/>
      <c r="O26" s="40" t="n"/>
      <c r="P26" s="40" t="n"/>
      <c r="Q26" s="9" t="n"/>
    </row>
    <row r="27" ht="19" customHeight="1">
      <c r="A27" s="42" t="inlineStr">
        <is>
          <t>탈락 5</t>
        </is>
      </c>
      <c r="B27" s="43" t="n"/>
      <c r="C27" s="44" t="n"/>
      <c r="D27" s="45" t="n"/>
      <c r="E27" s="45" t="n"/>
      <c r="F27" s="45" t="n"/>
      <c r="G27" s="45" t="n"/>
      <c r="H27" s="45" t="n"/>
      <c r="I27" s="45" t="n"/>
      <c r="J27" s="45" t="n"/>
      <c r="K27" s="45" t="n"/>
      <c r="L27" s="45" t="n"/>
      <c r="M27" s="45" t="n"/>
      <c r="N27" s="45" t="n"/>
      <c r="O27" s="45" t="n"/>
      <c r="P27" s="45" t="n"/>
      <c r="Q27" s="46" t="n"/>
    </row>
  </sheetData>
  <mergeCells count="18">
    <mergeCell ref="C21:Q21"/>
    <mergeCell ref="E4:F4"/>
    <mergeCell ref="C20:Q20"/>
    <mergeCell ref="C25:Q25"/>
    <mergeCell ref="C24:Q24"/>
    <mergeCell ref="B4:C4"/>
    <mergeCell ref="B5:C5"/>
    <mergeCell ref="A7:Q7"/>
    <mergeCell ref="C27:Q27"/>
    <mergeCell ref="E5:F5"/>
    <mergeCell ref="K5:L5"/>
    <mergeCell ref="H5:I5"/>
    <mergeCell ref="R9:T9"/>
    <mergeCell ref="C23:Q23"/>
    <mergeCell ref="H4:I4"/>
    <mergeCell ref="C22:Q22"/>
    <mergeCell ref="U9:W9"/>
    <mergeCell ref="C26:Q26"/>
  </mergeCells>
  <dataValidations count="1">
    <dataValidation sqref="Q11:Q17" showDropDown="0" showInputMessage="0" showErrorMessage="0" allowBlank="1" type="list">
      <formula1>"Top1,Top2,Top3,보류,탈락"</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2026-09-22T06:52:34Z</dcterms:created>
  <dcterms:modified xmlns:dcterms="http://purl.org/dc/terms/" xmlns:xsi="http://www.w3.org/2001/XMLSchema-instance" xsi:type="dcterms:W3CDTF">2026-09-22T06:53:51Z</dcterms:modified>
</cp:coreProperties>
</file>