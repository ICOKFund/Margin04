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취합" sheetId="1" state="visible" r:id="rId1"/>
    <sheet xmlns:r="http://schemas.openxmlformats.org/officeDocument/2006/relationships" name="작성요령" sheetId="2" state="visible" r:id="rId2"/>
    <sheet xmlns:r="http://schemas.openxmlformats.org/officeDocument/2006/relationships" name="헬스케어·바이오" sheetId="3" state="visible" r:id="rId3"/>
    <sheet xmlns:r="http://schemas.openxmlformats.org/officeDocument/2006/relationships" name="금융 — 보험·증권" sheetId="4" state="visible" r:id="rId4"/>
    <sheet xmlns:r="http://schemas.openxmlformats.org/officeDocument/2006/relationships" name="금융 — 은행·지주" sheetId="5" state="visible" r:id="rId5"/>
    <sheet xmlns:r="http://schemas.openxmlformats.org/officeDocument/2006/relationships" name="통신·미디어·엔터" sheetId="6" state="visible" r:id="rId6"/>
    <sheet xmlns:r="http://schemas.openxmlformats.org/officeDocument/2006/relationships" name="소비재·유통" sheetId="7" state="visible" r:id="rId7"/>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yyyy-mm-dd h:mm:ss"/>
    <numFmt numFmtId="167" formatCode="0.00_ "/>
  </numFmts>
  <fonts count="20">
    <font>
      <name val="맑은 고딕"/>
      <family val="2"/>
      <color theme="1"/>
      <sz val="11"/>
      <scheme val="minor"/>
    </font>
    <font>
      <name val="맑은 고딕"/>
      <charset val="129"/>
      <family val="3"/>
      <b val="1"/>
      <color rgb="FF1F2A44"/>
      <sz val="15"/>
    </font>
    <font>
      <name val="맑은 고딕"/>
      <charset val="129"/>
      <family val="3"/>
      <color rgb="FF5A5A5A"/>
      <sz val="9"/>
    </font>
    <font>
      <name val="맑은 고딕"/>
      <charset val="129"/>
      <family val="3"/>
      <sz val="9"/>
    </font>
    <font>
      <name val="맑은 고딕"/>
      <charset val="129"/>
      <family val="3"/>
      <b val="1"/>
      <color rgb="FF1F2A44"/>
      <sz val="9"/>
    </font>
    <font>
      <name val="맑은 고딕"/>
      <charset val="129"/>
      <family val="3"/>
      <b val="1"/>
      <color rgb="FFFFFFFF"/>
      <sz val="9"/>
    </font>
    <font>
      <name val="맑은 고딕"/>
      <charset val="129"/>
      <family val="3"/>
      <color theme="1"/>
      <sz val="11"/>
      <scheme val="minor"/>
    </font>
    <font>
      <name val="맑은 고딕"/>
      <charset val="129"/>
      <family val="3"/>
      <color theme="1"/>
      <sz val="9"/>
      <scheme val="minor"/>
    </font>
    <font>
      <name val="맑은 고딕"/>
      <charset val="129"/>
      <family val="3"/>
      <b val="1"/>
      <sz val="11"/>
    </font>
    <font>
      <name val="맑은 고딕"/>
      <charset val="129"/>
      <family val="3"/>
      <sz val="11"/>
    </font>
    <font>
      <name val="맑은 고딕"/>
      <charset val="129"/>
      <family val="3"/>
      <color rgb="FF000000"/>
      <sz val="11"/>
      <scheme val="minor"/>
    </font>
    <font>
      <name val="맑은 고딕"/>
      <charset val="129"/>
      <family val="3"/>
      <sz val="9"/>
      <scheme val="minor"/>
    </font>
    <font>
      <name val="맑은 고딕"/>
      <charset val="129"/>
      <family val="3"/>
      <color theme="1"/>
      <sz val="9"/>
    </font>
    <font>
      <name val="맑은 고딕"/>
      <b val="1"/>
      <color rgb="001F2A44"/>
      <sz val="15"/>
    </font>
    <font>
      <name val="맑은 고딕"/>
      <color rgb="005A5A5A"/>
      <sz val="9"/>
    </font>
    <font>
      <name val="맑은 고딕"/>
      <sz val="9"/>
    </font>
    <font>
      <name val="맑은 고딕"/>
      <b val="1"/>
      <color rgb="00FFFFFF"/>
      <sz val="9"/>
    </font>
    <font>
      <name val="맑은 고딕"/>
      <b val="1"/>
      <sz val="9"/>
    </font>
    <font>
      <name val="맑은 고딕"/>
      <b val="1"/>
      <color rgb="001F2A44"/>
      <sz val="9"/>
    </font>
    <font>
      <name val="맑은 고딕"/>
      <b val="1"/>
      <color rgb="009C0006"/>
      <sz val="9"/>
    </font>
  </fonts>
  <fills count="11">
    <fill>
      <patternFill/>
    </fill>
    <fill>
      <patternFill patternType="gray125"/>
    </fill>
    <fill>
      <patternFill patternType="solid">
        <fgColor rgb="FF1F2A44"/>
      </patternFill>
    </fill>
    <fill>
      <patternFill patternType="solid">
        <fgColor rgb="FFD6DCE4"/>
      </patternFill>
    </fill>
    <fill>
      <patternFill patternType="solid">
        <fgColor rgb="FF44546A"/>
      </patternFill>
    </fill>
    <fill>
      <patternFill patternType="solid">
        <fgColor rgb="FFF2F2F2"/>
      </patternFill>
    </fill>
    <fill>
      <patternFill patternType="solid">
        <fgColor rgb="FFFAFAFA"/>
      </patternFill>
    </fill>
    <fill>
      <patternFill patternType="solid">
        <fgColor rgb="FFEBEBEB"/>
        <bgColor indexed="64"/>
      </patternFill>
    </fill>
    <fill>
      <patternFill patternType="solid">
        <fgColor rgb="001F2A44"/>
      </patternFill>
    </fill>
    <fill>
      <patternFill patternType="solid">
        <fgColor rgb="0044546A"/>
      </patternFill>
    </fill>
    <fill>
      <patternFill patternType="solid">
        <fgColor rgb="00FAFAFA"/>
      </patternFill>
    </fill>
  </fills>
  <borders count="20">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medium">
        <color rgb="FF44546A"/>
      </top>
      <bottom style="thin">
        <color rgb="FFBFBFBF"/>
      </bottom>
      <diagonal/>
    </border>
    <border>
      <left style="thin">
        <color rgb="FFBFBFBF"/>
      </left>
      <right style="thin">
        <color rgb="FFBFBFBF"/>
      </right>
      <top style="thin">
        <color rgb="FFBFBFBF"/>
      </top>
      <bottom style="medium">
        <color rgb="FF44546A"/>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medium">
        <color rgb="FF44546A"/>
      </bottom>
      <diagonal/>
    </border>
    <border>
      <left/>
      <right style="thin">
        <color rgb="FFBFBFBF"/>
      </right>
      <top style="thin">
        <color rgb="FFBFBFBF"/>
      </top>
      <bottom style="medium">
        <color rgb="FF44546A"/>
      </bottom>
      <diagonal/>
    </border>
    <border>
      <left style="thin">
        <color rgb="FFBFBFBF"/>
      </left>
      <right style="thin">
        <color rgb="FFBFBFBF"/>
      </right>
      <top style="medium">
        <color rgb="FF44546A"/>
      </top>
      <bottom/>
      <diagonal/>
    </border>
    <border>
      <left style="thin">
        <color rgb="FFBFBFBF"/>
      </left>
      <right/>
      <top style="thin">
        <color rgb="FFBFBFBF"/>
      </top>
      <bottom style="thin">
        <color rgb="FFBFBFBF"/>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BFBFBF"/>
      </left>
      <right/>
      <top style="thin">
        <color rgb="FFBFBFBF"/>
      </top>
      <bottom style="medium">
        <color rgb="FF44546A"/>
      </bottom>
      <diagonal/>
    </border>
    <border>
      <left style="thin">
        <color theme="0" tint="-0.249977111117893"/>
      </left>
      <right style="thin">
        <color theme="0" tint="-0.249977111117893"/>
      </right>
      <top style="thin">
        <color theme="0" tint="-0.249977111117893"/>
      </top>
      <bottom style="medium">
        <color theme="1"/>
      </bottom>
      <diagonal/>
    </border>
    <border>
      <left style="thin">
        <color rgb="00BFBFBF"/>
      </left>
      <right style="thin">
        <color rgb="00BFBFBF"/>
      </right>
      <top style="medium">
        <color rgb="0044546A"/>
      </top>
      <bottom style="thin">
        <color rgb="00BFBFBF"/>
      </bottom>
    </border>
    <border>
      <left style="thin">
        <color rgb="00BFBFBF"/>
      </left>
      <right style="thin">
        <color rgb="00BFBFBF"/>
      </right>
      <top style="thin">
        <color rgb="00BFBFBF"/>
      </top>
      <bottom style="thin">
        <color rgb="00BFBFBF"/>
      </bottom>
    </border>
  </borders>
  <cellStyleXfs count="1">
    <xf numFmtId="0" fontId="0" fillId="0" borderId="0"/>
  </cellStyleXfs>
  <cellXfs count="122">
    <xf numFmtId="0" fontId="0" fillId="0" borderId="0" pivotButton="0" quotePrefix="0" xfId="0"/>
    <xf numFmtId="0" fontId="13" fillId="0" borderId="0" pivotButton="0" quotePrefix="0" xfId="0"/>
    <xf numFmtId="0" fontId="14" fillId="0" borderId="0" pivotButton="0" quotePrefix="0" xfId="0"/>
    <xf numFmtId="0" fontId="15" fillId="8" borderId="0" pivotButton="0" quotePrefix="0" xfId="0"/>
    <xf numFmtId="0" fontId="16" fillId="9" borderId="18" applyAlignment="1" pivotButton="0" quotePrefix="0" xfId="0">
      <alignment horizontal="center" vertical="center"/>
    </xf>
    <xf numFmtId="0" fontId="17" fillId="0" borderId="19" pivotButton="0" quotePrefix="0" xfId="0"/>
    <xf numFmtId="0" fontId="15" fillId="0" borderId="19" applyAlignment="1" pivotButton="0" quotePrefix="0" xfId="0">
      <alignment horizontal="center" vertical="center"/>
    </xf>
    <xf numFmtId="0" fontId="17" fillId="10" borderId="19" pivotButton="0" quotePrefix="0" xfId="0"/>
    <xf numFmtId="0" fontId="15" fillId="10" borderId="19" applyAlignment="1" pivotButton="0" quotePrefix="0" xfId="0">
      <alignment horizontal="center" vertical="center"/>
    </xf>
    <xf numFmtId="0" fontId="18" fillId="0" borderId="0" pivotButton="0" quotePrefix="0" xfId="0"/>
    <xf numFmtId="0" fontId="15" fillId="0" borderId="19" pivotButton="0" quotePrefix="0" xfId="0"/>
    <xf numFmtId="3" fontId="15" fillId="0" borderId="19" applyAlignment="1" pivotButton="0" quotePrefix="0" xfId="0">
      <alignment horizontal="right" vertical="center"/>
    </xf>
    <xf numFmtId="165" fontId="15" fillId="0" borderId="19" applyAlignment="1" pivotButton="0" quotePrefix="0" xfId="0">
      <alignment horizontal="right" vertical="center"/>
    </xf>
    <xf numFmtId="0" fontId="15" fillId="10" borderId="19" pivotButton="0" quotePrefix="0" xfId="0"/>
    <xf numFmtId="3" fontId="15" fillId="10" borderId="19" applyAlignment="1" pivotButton="0" quotePrefix="0" xfId="0">
      <alignment horizontal="right" vertical="center"/>
    </xf>
    <xf numFmtId="165" fontId="15" fillId="10" borderId="19" applyAlignment="1" pivotButton="0" quotePrefix="0" xfId="0">
      <alignment horizontal="right" vertical="center"/>
    </xf>
    <xf numFmtId="0" fontId="19"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xf>
    <xf numFmtId="0" fontId="3" fillId="0" borderId="1" applyAlignment="1" pivotButton="0" quotePrefix="0" xfId="0">
      <alignment vertical="top" wrapText="1"/>
    </xf>
    <xf numFmtId="0" fontId="0" fillId="0" borderId="3" pivotButton="0" quotePrefix="0" xfId="0"/>
    <xf numFmtId="0" fontId="0" fillId="0" borderId="4" pivotButton="0" quotePrefix="0" xfId="0"/>
    <xf numFmtId="0" fontId="3" fillId="0" borderId="1" applyAlignment="1" pivotButton="0" quotePrefix="0" xfId="0">
      <alignment horizontal="center" vertical="center"/>
    </xf>
    <xf numFmtId="0" fontId="0" fillId="0" borderId="10" pivotButton="0" quotePrefix="0" xfId="0"/>
    <xf numFmtId="14" fontId="3" fillId="0" borderId="1" applyAlignment="1" pivotButton="0" quotePrefix="0" xfId="0">
      <alignment horizontal="center" vertical="center"/>
    </xf>
    <xf numFmtId="0" fontId="2" fillId="0" borderId="0" applyAlignment="1" pivotButton="0" quotePrefix="0" xfId="0">
      <alignment vertical="top" wrapText="1"/>
    </xf>
    <xf numFmtId="0" fontId="5" fillId="4" borderId="5" applyAlignment="1" pivotButton="0" quotePrefix="0" xfId="0">
      <alignment horizontal="center" vertical="center"/>
    </xf>
    <xf numFmtId="0" fontId="3" fillId="0" borderId="1" pivotButton="0" quotePrefix="0" xfId="0"/>
    <xf numFmtId="0" fontId="3" fillId="5" borderId="1" pivotButton="0" quotePrefix="0" xfId="0"/>
    <xf numFmtId="0" fontId="3" fillId="5" borderId="1" applyAlignment="1" pivotButton="0" quotePrefix="0" xfId="0">
      <alignment horizontal="center" vertical="center"/>
    </xf>
    <xf numFmtId="3" fontId="3" fillId="5" borderId="1" applyAlignment="1" pivotButton="0" quotePrefix="0" xfId="0">
      <alignment horizontal="right" vertical="center"/>
    </xf>
    <xf numFmtId="164" fontId="3" fillId="5" borderId="1" applyAlignment="1" pivotButton="0" quotePrefix="0" xfId="0">
      <alignment horizontal="right" vertical="center"/>
    </xf>
    <xf numFmtId="10" fontId="3" fillId="5" borderId="1" applyAlignment="1" pivotButton="0" quotePrefix="0" xfId="0">
      <alignment horizontal="right" vertical="center"/>
    </xf>
    <xf numFmtId="165" fontId="3" fillId="5" borderId="1" applyAlignment="1" pivotButton="0" quotePrefix="0" xfId="0">
      <alignment horizontal="right" vertical="center"/>
    </xf>
    <xf numFmtId="10" fontId="3" fillId="0" borderId="1" applyAlignment="1" pivotButton="0" quotePrefix="0" xfId="0">
      <alignment vertical="top" wrapText="1"/>
    </xf>
    <xf numFmtId="10" fontId="6" fillId="0" borderId="0" pivotButton="0" quotePrefix="0" xfId="0"/>
    <xf numFmtId="0" fontId="6" fillId="0" borderId="0" pivotButton="0" quotePrefix="0" xfId="0"/>
    <xf numFmtId="0" fontId="3" fillId="6" borderId="1" pivotButton="0" quotePrefix="0" xfId="0"/>
    <xf numFmtId="10" fontId="3" fillId="6" borderId="1" applyAlignment="1" pivotButton="0" quotePrefix="0" xfId="0">
      <alignment vertical="top" wrapText="1"/>
    </xf>
    <xf numFmtId="0" fontId="3" fillId="6" borderId="1" applyAlignment="1" pivotButton="0" quotePrefix="0" xfId="0">
      <alignment vertical="top" wrapText="1"/>
    </xf>
    <xf numFmtId="0" fontId="3" fillId="6" borderId="6" pivotButton="0" quotePrefix="0" xfId="0"/>
    <xf numFmtId="0" fontId="3" fillId="5" borderId="6" pivotButton="0" quotePrefix="0" xfId="0"/>
    <xf numFmtId="0" fontId="3" fillId="5" borderId="6" applyAlignment="1" pivotButton="0" quotePrefix="0" xfId="0">
      <alignment horizontal="center" vertical="center"/>
    </xf>
    <xf numFmtId="3" fontId="3" fillId="5" borderId="6" applyAlignment="1" pivotButton="0" quotePrefix="0" xfId="0">
      <alignment horizontal="right" vertical="center"/>
    </xf>
    <xf numFmtId="164" fontId="3" fillId="5" borderId="6" applyAlignment="1" pivotButton="0" quotePrefix="0" xfId="0">
      <alignment horizontal="right" vertical="center"/>
    </xf>
    <xf numFmtId="10" fontId="3" fillId="5" borderId="6" applyAlignment="1" pivotButton="0" quotePrefix="0" xfId="0">
      <alignment horizontal="right" vertical="center"/>
    </xf>
    <xf numFmtId="165" fontId="3" fillId="5" borderId="6" applyAlignment="1" pivotButton="0" quotePrefix="0" xfId="0">
      <alignment horizontal="right" vertical="center"/>
    </xf>
    <xf numFmtId="0" fontId="3" fillId="6" borderId="6" applyAlignment="1" pivotButton="0" quotePrefix="0" xfId="0">
      <alignment vertical="top" wrapText="1"/>
    </xf>
    <xf numFmtId="0" fontId="5" fillId="4" borderId="5" pivotButton="0" quotePrefix="0" xfId="0"/>
    <xf numFmtId="0" fontId="2" fillId="0" borderId="1" applyAlignment="1" pivotButton="0" quotePrefix="0" xfId="0">
      <alignment vertical="top" wrapText="1"/>
    </xf>
    <xf numFmtId="0" fontId="0" fillId="0" borderId="9" pivotButton="0" quotePrefix="0" xfId="0"/>
    <xf numFmtId="0" fontId="4" fillId="3" borderId="6" applyAlignment="1" pivotButton="0" quotePrefix="0" xfId="0">
      <alignment horizontal="center" vertical="center"/>
    </xf>
    <xf numFmtId="0" fontId="3" fillId="0" borderId="6" applyAlignment="1" pivotButton="0" quotePrefix="0" xfId="0">
      <alignment horizontal="center" vertical="center"/>
    </xf>
    <xf numFmtId="0" fontId="3" fillId="0" borderId="6" applyAlignment="1" pivotButton="0" quotePrefix="0" xfId="0">
      <alignment vertical="top" wrapText="1"/>
    </xf>
    <xf numFmtId="0" fontId="0" fillId="0" borderId="11" pivotButton="0" quotePrefix="0" xfId="0"/>
    <xf numFmtId="0" fontId="0" fillId="0" borderId="12" pivotButton="0" quotePrefix="0" xfId="0"/>
    <xf numFmtId="0" fontId="7" fillId="0" borderId="0" pivotButton="0" quotePrefix="0" xfId="0"/>
    <xf numFmtId="0" fontId="3" fillId="0" borderId="6" pivotButton="0" quotePrefix="0" xfId="0"/>
    <xf numFmtId="0" fontId="5" fillId="4" borderId="13" applyAlignment="1" pivotButton="0" quotePrefix="0" xfId="0">
      <alignment horizontal="center" vertical="center"/>
    </xf>
    <xf numFmtId="0" fontId="3" fillId="0" borderId="1" applyAlignment="1" pivotButton="0" quotePrefix="0" xfId="0">
      <alignment horizontal="left" vertical="top" wrapText="1"/>
    </xf>
    <xf numFmtId="0" fontId="8" fillId="5" borderId="1" applyAlignment="1" pivotButton="0" quotePrefix="0" xfId="0">
      <alignment horizontal="left" vertical="center" wrapText="1"/>
    </xf>
    <xf numFmtId="0" fontId="9" fillId="5" borderId="1" applyAlignment="1" pivotButton="0" quotePrefix="0" xfId="0">
      <alignment horizontal="right" vertical="center" wrapText="1"/>
    </xf>
    <xf numFmtId="3" fontId="9" fillId="5" borderId="1" applyAlignment="1" pivotButton="0" quotePrefix="0" xfId="0">
      <alignment horizontal="right" vertical="center" wrapText="1"/>
    </xf>
    <xf numFmtId="164" fontId="9" fillId="5" borderId="1" applyAlignment="1" pivotButton="0" quotePrefix="0" xfId="0">
      <alignment horizontal="right" vertical="center" wrapText="1"/>
    </xf>
    <xf numFmtId="10" fontId="9" fillId="5" borderId="1" applyAlignment="1" pivotButton="0" quotePrefix="0" xfId="0">
      <alignment horizontal="right" vertical="center" wrapText="1"/>
    </xf>
    <xf numFmtId="165" fontId="9" fillId="5" borderId="1" applyAlignment="1" pivotButton="0" quotePrefix="0" xfId="0">
      <alignment horizontal="right" vertical="center" wrapText="1"/>
    </xf>
    <xf numFmtId="0" fontId="9" fillId="5" borderId="14" applyAlignment="1" pivotButton="0" quotePrefix="0" xfId="0">
      <alignment horizontal="right" vertical="center" wrapText="1"/>
    </xf>
    <xf numFmtId="3" fontId="10" fillId="7" borderId="15" applyAlignment="1" pivotButton="0" quotePrefix="0" xfId="0">
      <alignment horizontal="right" vertical="center" wrapText="1"/>
    </xf>
    <xf numFmtId="167" fontId="9" fillId="0" borderId="10" applyAlignment="1" pivotButton="0" quotePrefix="0" xfId="0">
      <alignment horizontal="right" vertical="center" wrapText="1"/>
    </xf>
    <xf numFmtId="167" fontId="9" fillId="0" borderId="1" applyAlignment="1" pivotButton="0" quotePrefix="0" xfId="0">
      <alignment horizontal="right" vertical="center" wrapText="1"/>
    </xf>
    <xf numFmtId="0" fontId="3" fillId="0" borderId="1" applyAlignment="1" pivotButton="0" quotePrefix="0" xfId="0">
      <alignment horizontal="center" vertical="center" wrapText="1"/>
    </xf>
    <xf numFmtId="0" fontId="3" fillId="0" borderId="14" applyAlignment="1" pivotButton="0" quotePrefix="0" xfId="0">
      <alignment horizontal="left" vertical="top" wrapText="1"/>
    </xf>
    <xf numFmtId="0" fontId="6" fillId="0" borderId="15" applyAlignment="1" pivotButton="0" quotePrefix="0" xfId="0">
      <alignment vertical="top" wrapText="1"/>
    </xf>
    <xf numFmtId="0" fontId="3" fillId="0" borderId="15" applyAlignment="1" pivotButton="0" quotePrefix="0" xfId="0">
      <alignment horizontal="left" vertical="top" wrapText="1"/>
    </xf>
    <xf numFmtId="0" fontId="8" fillId="5" borderId="10" applyAlignment="1" pivotButton="0" quotePrefix="0" xfId="0">
      <alignment horizontal="left" vertical="center" wrapText="1"/>
    </xf>
    <xf numFmtId="0" fontId="3" fillId="6" borderId="1" applyAlignment="1" pivotButton="0" quotePrefix="0" xfId="0">
      <alignment horizontal="left" vertical="top" wrapText="1"/>
    </xf>
    <xf numFmtId="167" fontId="9" fillId="6" borderId="10" applyAlignment="1" pivotButton="0" quotePrefix="0" xfId="0">
      <alignment horizontal="right" vertical="center" wrapText="1"/>
    </xf>
    <xf numFmtId="167" fontId="9" fillId="6" borderId="1" applyAlignment="1" pivotButton="0" quotePrefix="0" xfId="0">
      <alignment horizontal="right" vertical="center" wrapText="1"/>
    </xf>
    <xf numFmtId="0" fontId="3" fillId="6" borderId="1" applyAlignment="1" pivotButton="0" quotePrefix="0" xfId="0">
      <alignment horizontal="center" vertical="center" wrapText="1"/>
    </xf>
    <xf numFmtId="0" fontId="3" fillId="6" borderId="14" applyAlignment="1" pivotButton="0" quotePrefix="0" xfId="0">
      <alignment horizontal="left" vertical="top" wrapText="1"/>
    </xf>
    <xf numFmtId="0" fontId="6" fillId="0" borderId="15" applyAlignment="1" pivotButton="0" quotePrefix="0" xfId="0">
      <alignment horizontal="left" vertical="top" wrapText="1"/>
    </xf>
    <xf numFmtId="0" fontId="3" fillId="0" borderId="6" applyAlignment="1" pivotButton="0" quotePrefix="0" xfId="0">
      <alignment horizontal="left" vertical="top" wrapText="1"/>
    </xf>
    <xf numFmtId="0" fontId="8" fillId="5" borderId="6" applyAlignment="1" pivotButton="0" quotePrefix="0" xfId="0">
      <alignment horizontal="left" vertical="center" wrapText="1"/>
    </xf>
    <xf numFmtId="0" fontId="9" fillId="5" borderId="6" applyAlignment="1" pivotButton="0" quotePrefix="0" xfId="0">
      <alignment horizontal="right" vertical="center" wrapText="1"/>
    </xf>
    <xf numFmtId="3" fontId="9" fillId="5" borderId="6" applyAlignment="1" pivotButton="0" quotePrefix="0" xfId="0">
      <alignment horizontal="right" vertical="center" wrapText="1"/>
    </xf>
    <xf numFmtId="164" fontId="9" fillId="5" borderId="6" applyAlignment="1" pivotButton="0" quotePrefix="0" xfId="0">
      <alignment horizontal="right" vertical="center" wrapText="1"/>
    </xf>
    <xf numFmtId="10" fontId="9" fillId="5" borderId="6" applyAlignment="1" pivotButton="0" quotePrefix="0" xfId="0">
      <alignment horizontal="right" vertical="center" wrapText="1"/>
    </xf>
    <xf numFmtId="165" fontId="9" fillId="5" borderId="6" applyAlignment="1" pivotButton="0" quotePrefix="0" xfId="0">
      <alignment horizontal="right" vertical="center" wrapText="1"/>
    </xf>
    <xf numFmtId="0" fontId="9" fillId="5" borderId="16" applyAlignment="1" pivotButton="0" quotePrefix="0" xfId="0">
      <alignment horizontal="right" vertical="center" wrapText="1"/>
    </xf>
    <xf numFmtId="3" fontId="10" fillId="7" borderId="17" applyAlignment="1" pivotButton="0" quotePrefix="0" xfId="0">
      <alignment horizontal="right" vertical="center" wrapText="1"/>
    </xf>
    <xf numFmtId="167" fontId="9" fillId="0" borderId="12" applyAlignment="1" pivotButton="0" quotePrefix="0" xfId="0">
      <alignment horizontal="right" vertical="center" wrapText="1"/>
    </xf>
    <xf numFmtId="167" fontId="9" fillId="0" borderId="6" applyAlignment="1" pivotButton="0" quotePrefix="0" xfId="0">
      <alignment horizontal="right" vertical="center" wrapText="1"/>
    </xf>
    <xf numFmtId="0" fontId="3" fillId="0" borderId="6" applyAlignment="1" pivotButton="0" quotePrefix="0" xfId="0">
      <alignment horizontal="center" vertical="center" wrapText="1"/>
    </xf>
    <xf numFmtId="0" fontId="3" fillId="0" borderId="16" applyAlignment="1" pivotButton="0" quotePrefix="0" xfId="0">
      <alignment horizontal="left" vertical="top" wrapText="1"/>
    </xf>
    <xf numFmtId="0" fontId="8" fillId="5" borderId="12" applyAlignment="1" pivotButton="0" quotePrefix="0" xfId="0">
      <alignment horizontal="left" vertical="center" wrapText="1"/>
    </xf>
    <xf numFmtId="0" fontId="11" fillId="0" borderId="0" pivotButton="0" quotePrefix="0" xfId="0"/>
    <xf numFmtId="0" fontId="3" fillId="0" borderId="1" applyAlignment="1" pivotButton="0" quotePrefix="0" xfId="0">
      <alignment vertical="top"/>
    </xf>
    <xf numFmtId="0" fontId="3" fillId="0" borderId="6" applyAlignment="1" pivotButton="0" quotePrefix="0" xfId="0">
      <alignment vertical="top"/>
    </xf>
    <xf numFmtId="0" fontId="3" fillId="0" borderId="1" applyAlignment="1" pivotButton="0" quotePrefix="0" xfId="0">
      <alignment vertical="center" wrapText="1"/>
    </xf>
    <xf numFmtId="0" fontId="3" fillId="5" borderId="1" applyAlignment="1" pivotButton="0" quotePrefix="0" xfId="0">
      <alignment vertical="center" wrapText="1"/>
    </xf>
    <xf numFmtId="0" fontId="3" fillId="5" borderId="1" applyAlignment="1" pivotButton="0" quotePrefix="0" xfId="0">
      <alignment horizontal="center" vertical="center" wrapText="1"/>
    </xf>
    <xf numFmtId="3" fontId="3" fillId="5" borderId="1" applyAlignment="1" pivotButton="0" quotePrefix="0" xfId="0">
      <alignment horizontal="right" vertical="center" wrapText="1"/>
    </xf>
    <xf numFmtId="164" fontId="3" fillId="5" borderId="1" applyAlignment="1" pivotButton="0" quotePrefix="0" xfId="0">
      <alignment horizontal="right" vertical="center" wrapText="1"/>
    </xf>
    <xf numFmtId="10" fontId="3" fillId="5" borderId="1" applyAlignment="1" pivotButton="0" quotePrefix="0" xfId="0">
      <alignment horizontal="right" vertical="center" wrapText="1"/>
    </xf>
    <xf numFmtId="165" fontId="3" fillId="5" borderId="1" applyAlignment="1" pivotButton="0" quotePrefix="0" xfId="0">
      <alignment horizontal="right" vertical="center" wrapText="1"/>
    </xf>
    <xf numFmtId="165" fontId="3" fillId="0" borderId="1" applyAlignment="1" pivotButton="0" quotePrefix="0" xfId="0">
      <alignment vertical="center" wrapText="1"/>
    </xf>
    <xf numFmtId="0" fontId="3" fillId="0" borderId="1" applyAlignment="1" pivotButton="0" quotePrefix="0" xfId="0">
      <alignment horizontal="left" vertical="center" wrapText="1"/>
    </xf>
    <xf numFmtId="0" fontId="3" fillId="6" borderId="1" applyAlignment="1" pivotButton="0" quotePrefix="0" xfId="0">
      <alignment vertical="center" wrapText="1"/>
    </xf>
    <xf numFmtId="165" fontId="3" fillId="6" borderId="1" applyAlignment="1" pivotButton="0" quotePrefix="0" xfId="0">
      <alignment vertical="center" wrapText="1"/>
    </xf>
    <xf numFmtId="0" fontId="3" fillId="6" borderId="1" applyAlignment="1" pivotButton="0" quotePrefix="0" xfId="0">
      <alignment horizontal="left" vertical="center" wrapText="1"/>
    </xf>
    <xf numFmtId="0" fontId="3" fillId="0" borderId="6" applyAlignment="1" pivotButton="0" quotePrefix="0" xfId="0">
      <alignment vertical="center" wrapText="1"/>
    </xf>
    <xf numFmtId="0" fontId="3" fillId="5" borderId="6" applyAlignment="1" pivotButton="0" quotePrefix="0" xfId="0">
      <alignment vertical="center" wrapText="1"/>
    </xf>
    <xf numFmtId="0" fontId="3" fillId="5" borderId="6" applyAlignment="1" pivotButton="0" quotePrefix="0" xfId="0">
      <alignment horizontal="center" vertical="center" wrapText="1"/>
    </xf>
    <xf numFmtId="3" fontId="3" fillId="5" borderId="6" applyAlignment="1" pivotButton="0" quotePrefix="0" xfId="0">
      <alignment horizontal="right" vertical="center" wrapText="1"/>
    </xf>
    <xf numFmtId="164" fontId="3" fillId="5" borderId="6" applyAlignment="1" pivotButton="0" quotePrefix="0" xfId="0">
      <alignment horizontal="right" vertical="center" wrapText="1"/>
    </xf>
    <xf numFmtId="10" fontId="3" fillId="5" borderId="6" applyAlignment="1" pivotButton="0" quotePrefix="0" xfId="0">
      <alignment horizontal="right" vertical="center" wrapText="1"/>
    </xf>
    <xf numFmtId="165" fontId="3" fillId="5" borderId="6" applyAlignment="1" pivotButton="0" quotePrefix="0" xfId="0">
      <alignment horizontal="right" vertical="center" wrapText="1"/>
    </xf>
    <xf numFmtId="165" fontId="3" fillId="0" borderId="6" applyAlignment="1" pivotButton="0" quotePrefix="0" xfId="0">
      <alignment vertical="center" wrapText="1"/>
    </xf>
    <xf numFmtId="0" fontId="3" fillId="0" borderId="6" applyAlignment="1" pivotButton="0" quotePrefix="0" xfId="0">
      <alignment horizontal="left" vertical="center" wrapText="1"/>
    </xf>
    <xf numFmtId="0" fontId="1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42"/>
  <sheetViews>
    <sheetView showGridLines="0" workbookViewId="0">
      <selection activeCell="A1" sqref="A1"/>
    </sheetView>
  </sheetViews>
  <sheetFormatPr baseColWidth="8" defaultRowHeight="15"/>
  <cols>
    <col width="3" customWidth="1" min="1" max="1"/>
    <col width="21" customWidth="1" min="2" max="2"/>
    <col width="17" customWidth="1" min="3" max="3"/>
    <col width="9" customWidth="1" min="4" max="4"/>
    <col width="8" customWidth="1" min="5" max="5"/>
    <col width="16" customWidth="1" min="6" max="6"/>
    <col width="16" customWidth="1" min="7" max="7"/>
    <col width="16" customWidth="1" min="8" max="8"/>
    <col width="7" customWidth="1" min="9" max="9"/>
    <col width="11" customWidth="1" min="10" max="10"/>
  </cols>
  <sheetData>
    <row r="1" ht="22" customHeight="1">
      <c r="B1" s="1" t="inlineStr">
        <is>
          <t>팀 3 · 내수·디펜시브 — 담당 산업 스크리닝 취합</t>
        </is>
      </c>
    </row>
    <row r="2">
      <c r="B2" s="2" t="inlineStr">
        <is>
          <t>ICOK Fund 26-2  ·  기준일 2026-09-15 종가  ·  취합 2026-09-22  ·  팀장 조찬형</t>
        </is>
      </c>
    </row>
    <row r="3" ht="3" customHeight="1">
      <c r="B3" s="3" t="n"/>
      <c r="C3" s="3" t="n"/>
      <c r="D3" s="3" t="n"/>
      <c r="E3" s="3" t="n"/>
      <c r="F3" s="3" t="n"/>
      <c r="G3" s="3" t="n"/>
      <c r="H3" s="3" t="n"/>
      <c r="I3" s="3" t="n"/>
      <c r="J3" s="3" t="n"/>
    </row>
    <row r="5" ht="22" customHeight="1">
      <c r="B5" s="4" t="inlineStr">
        <is>
          <t>담당 산업</t>
        </is>
      </c>
      <c r="C5" s="4" t="inlineStr">
        <is>
          <t>담당자</t>
        </is>
      </c>
      <c r="D5" s="4" t="inlineStr">
        <is>
          <t>BM비중</t>
        </is>
      </c>
      <c r="E5" s="4" t="inlineStr">
        <is>
          <t>종목수</t>
        </is>
      </c>
      <c r="F5" s="4" t="inlineStr">
        <is>
          <t>Top 1</t>
        </is>
      </c>
      <c r="G5" s="4" t="inlineStr">
        <is>
          <t>Top 2</t>
        </is>
      </c>
      <c r="H5" s="4" t="inlineStr">
        <is>
          <t>Top 3</t>
        </is>
      </c>
      <c r="I5" s="4" t="inlineStr">
        <is>
          <t>탈락</t>
        </is>
      </c>
      <c r="J5" s="4" t="inlineStr">
        <is>
          <t>상태</t>
        </is>
      </c>
    </row>
    <row r="6" ht="18" customHeight="1">
      <c r="B6" s="5" t="inlineStr">
        <is>
          <t>헬스케어·바이오</t>
        </is>
      </c>
      <c r="C6" s="6" t="inlineStr">
        <is>
          <t>윤지원</t>
        </is>
      </c>
      <c r="D6" s="6" t="str">
        <f>'헬스케어·바이오'!B5</f>
        <v>3.87%</v>
      </c>
      <c r="E6" s="6">
        <f>VALUE('헬스케어·바이오'!H5)</f>
        <v>42</v>
      </c>
      <c r="F6" s="6" t="str">
        <f>'헬스케어·바이오'!B55</f>
        <v>삼성바이오로직스</v>
      </c>
      <c r="G6" s="6" t="str">
        <f>'헬스케어·바이오'!B56</f>
        <v>알테오젠</v>
      </c>
      <c r="H6" s="6" t="str">
        <f>'헬스케어·바이오'!B57</f>
        <v>한미약품</v>
      </c>
      <c r="I6" s="6">
        <f>COUNTA('헬스케어·바이오'!B58:B62)</f>
        <v>5</v>
      </c>
      <c r="J6" s="6" t="inlineStr">
        <is>
          <t>제출</t>
        </is>
      </c>
    </row>
    <row r="7" ht="18" customHeight="1">
      <c r="B7" s="7" t="inlineStr">
        <is>
          <t>금융 — 보험·증권</t>
        </is>
      </c>
      <c r="C7" s="8" t="inlineStr">
        <is>
          <t>조찬형</t>
        </is>
      </c>
      <c r="D7" s="8" t="str">
        <f>'금융 — 보험·증권'!B5</f>
        <v>3.77%</v>
      </c>
      <c r="E7" s="8">
        <f>VALUE('금융 — 보험·증권'!H5)</f>
        <v>19</v>
      </c>
      <c r="F7" s="8" t="str">
        <f>'금융 — 보험·증권'!B32</f>
        <v>DB손해보험</v>
      </c>
      <c r="G7" s="8" t="str">
        <f>'금융 — 보험·증권'!B33</f>
        <v>삼성생명</v>
      </c>
      <c r="H7" s="8" t="str">
        <f>'금융 — 보험·증권'!B34</f>
        <v>한국금융지주</v>
      </c>
      <c r="I7" s="8">
        <f>COUNTA('금융 — 보험·증권'!B35:B39)</f>
        <v>5</v>
      </c>
      <c r="J7" s="8" t="inlineStr">
        <is>
          <t>제출</t>
        </is>
      </c>
    </row>
    <row r="8" ht="18" customHeight="1">
      <c r="B8" s="5" t="inlineStr">
        <is>
          <t>금융 — 은행·지주</t>
        </is>
      </c>
      <c r="C8" s="6" t="inlineStr">
        <is>
          <t>고낭균</t>
        </is>
      </c>
      <c r="D8" s="6" t="str">
        <f>'금융 — 은행·지주'!B5</f>
        <v>4.12%</v>
      </c>
      <c r="E8" s="6">
        <f>VALUE('금융 — 은행·지주'!H5)</f>
        <v>9</v>
      </c>
      <c r="F8" s="6" t="str">
        <f>'금융 — 은행·지주'!B22</f>
        <v>하나금융지주</v>
      </c>
      <c r="G8" s="6" t="str">
        <f>'금융 — 은행·지주'!B23</f>
        <v>신한지주</v>
      </c>
      <c r="H8" s="6" t="str">
        <f>'금융 — 은행·지주'!B24</f>
        <v>JB금융지주</v>
      </c>
      <c r="I8" s="6">
        <f>COUNTA('금융 — 은행·지주'!B25:B29)</f>
        <v>5</v>
      </c>
      <c r="J8" s="6" t="inlineStr">
        <is>
          <t>제출</t>
        </is>
      </c>
    </row>
    <row r="9" ht="18" customHeight="1">
      <c r="B9" s="7" t="inlineStr">
        <is>
          <t>통신·미디어·엔터</t>
        </is>
      </c>
      <c r="C9" s="8" t="inlineStr">
        <is>
          <t>이서현</t>
        </is>
      </c>
      <c r="D9" s="8" t="str">
        <f>'통신·미디어·엔터'!B5</f>
        <v>1.11%</v>
      </c>
      <c r="E9" s="8">
        <f>VALUE('통신·미디어·엔터'!H5)</f>
        <v>13</v>
      </c>
      <c r="F9" s="8" t="str">
        <f>'통신·미디어·엔터'!B25</f>
        <v>LG유플러스</v>
      </c>
      <c r="G9" s="8" t="str">
        <f>'통신·미디어·엔터'!B26</f>
        <v>SK텔레콤</v>
      </c>
      <c r="H9" s="8" t="str">
        <f>'통신·미디어·엔터'!B27</f>
        <v>에스엠</v>
      </c>
      <c r="I9" s="8">
        <f>COUNTA('통신·미디어·엔터'!B28:B32)</f>
        <v>5</v>
      </c>
      <c r="J9" s="8" t="inlineStr">
        <is>
          <t>제출</t>
        </is>
      </c>
    </row>
    <row r="10" ht="18" customHeight="1">
      <c r="B10" s="5" t="inlineStr">
        <is>
          <t>소비재·유통</t>
        </is>
      </c>
      <c r="C10" s="6" t="inlineStr">
        <is>
          <t>서민지</t>
        </is>
      </c>
      <c r="D10" s="6" t="str">
        <f>'소비재·유통'!B5</f>
        <v>2.62%</v>
      </c>
      <c r="E10" s="6">
        <f>VALUE('소비재·유통'!H5)</f>
        <v>32</v>
      </c>
      <c r="F10" s="6" t="str">
        <f>'소비재·유통'!C44</f>
        <v>에이피알</v>
      </c>
      <c r="G10" s="6" t="str">
        <f>'소비재·유통'!C45</f>
        <v>삼양식품</v>
      </c>
      <c r="H10" s="6" t="str">
        <f>'소비재·유통'!C46</f>
        <v>코스맥스</v>
      </c>
      <c r="I10" s="6">
        <f>COUNTA('소비재·유통'!C47:C51)</f>
        <v>5</v>
      </c>
      <c r="J10" s="6" t="inlineStr">
        <is>
          <t>제출</t>
        </is>
      </c>
    </row>
    <row r="11" ht="18" customHeight="1">
      <c r="B11" s="4" t="inlineStr">
        <is>
          <t>팀 3 합계</t>
        </is>
      </c>
      <c r="C11" s="4" t="n"/>
      <c r="D11" s="4" t="str">
        <f>TEXT(SUMPRODUCT(VALUE(SUBSTITUTE(D6:D10,"%",""))),"0.00")&amp;"%"</f>
        <v>15.49%</v>
      </c>
      <c r="E11" s="4">
        <f>SUM(E6:E10)</f>
        <v>115</v>
      </c>
      <c r="F11" s="4" t="n"/>
      <c r="G11" s="4" t="n"/>
      <c r="H11" s="4" t="n"/>
      <c r="I11" s="4">
        <f>SUM(I6:I10)</f>
        <v>25</v>
      </c>
      <c r="J11" s="4" t="n"/>
    </row>
    <row r="13">
      <c r="B13" s="9" t="inlineStr">
        <is>
          <t>발제 후보 15종목 — 매수 가능 여부</t>
        </is>
      </c>
    </row>
    <row r="14" ht="22" customHeight="1">
      <c r="B14" s="4" t="inlineStr">
        <is>
          <t>담당 산업</t>
        </is>
      </c>
      <c r="C14" s="4" t="inlineStr">
        <is>
          <t>담당자</t>
        </is>
      </c>
      <c r="D14" s="4" t="inlineStr">
        <is>
          <t>종목</t>
        </is>
      </c>
      <c r="E14" s="4" t="inlineStr">
        <is>
          <t>주가</t>
        </is>
      </c>
      <c r="F14" s="4" t="inlineStr">
        <is>
          <t>1주 / 팀예산</t>
        </is>
      </c>
      <c r="G14" s="4" t="inlineStr">
        <is>
          <t>매수 판정</t>
        </is>
      </c>
    </row>
    <row r="15" ht="17" customHeight="1">
      <c r="B15" s="10" t="inlineStr">
        <is>
          <t>헬스케어·바이오</t>
        </is>
      </c>
      <c r="C15" s="6" t="inlineStr">
        <is>
          <t>윤지원</t>
        </is>
      </c>
      <c r="D15" s="5" t="str">
        <f>'헬스케어·바이오'!B11</f>
        <v>삼성바이오로직스</v>
      </c>
      <c r="E15" s="11">
        <f>'헬스케어·바이오'!D11</f>
        <v>1412000</v>
      </c>
      <c r="F15" s="12">
        <f>'헬스케어·바이오'!G11</f>
        <v>0.328340461589456</v>
      </c>
      <c r="G15" s="6" t="str">
        <f>'헬스케어·바이오'!H11</f>
        <v>가능</v>
      </c>
    </row>
    <row r="16" ht="17" customHeight="1">
      <c r="B16" s="13" t="inlineStr">
        <is>
          <t>헬스케어·바이오</t>
        </is>
      </c>
      <c r="C16" s="8" t="inlineStr">
        <is>
          <t>윤지원</t>
        </is>
      </c>
      <c r="D16" s="7" t="str">
        <f>'헬스케어·바이오'!B13</f>
        <v>알테오젠</v>
      </c>
      <c r="E16" s="14">
        <f>'헬스케어·바이오'!D13</f>
        <v>260000</v>
      </c>
      <c r="F16" s="15">
        <f>'헬스케어·바이오'!G13</f>
        <v>0.0604592917940925</v>
      </c>
      <c r="G16" s="8" t="str">
        <f>'헬스케어·바이오'!H13</f>
        <v>가능</v>
      </c>
    </row>
    <row r="17" ht="17" customHeight="1">
      <c r="B17" s="10" t="inlineStr">
        <is>
          <t>헬스케어·바이오</t>
        </is>
      </c>
      <c r="C17" s="6" t="inlineStr">
        <is>
          <t>윤지원</t>
        </is>
      </c>
      <c r="D17" s="5" t="str">
        <f>'헬스케어·바이오'!B14</f>
        <v>한미약품</v>
      </c>
      <c r="E17" s="11">
        <f>'헬스케어·바이오'!D14</f>
        <v>496500</v>
      </c>
      <c r="F17" s="12">
        <f>'헬스케어·바이오'!G14</f>
        <v>0.11545399375295</v>
      </c>
      <c r="G17" s="6" t="str">
        <f>'헬스케어·바이오'!H14</f>
        <v>가능</v>
      </c>
    </row>
    <row r="18" ht="17" customHeight="1">
      <c r="B18" s="13" t="inlineStr">
        <is>
          <t>금융 — 보험·증권</t>
        </is>
      </c>
      <c r="C18" s="8" t="inlineStr">
        <is>
          <t>조찬형</t>
        </is>
      </c>
      <c r="D18" s="7" t="str">
        <f>'금융 — 보험·증권'!B15</f>
        <v>DB손해보험</v>
      </c>
      <c r="E18" s="14">
        <f>'금융 — 보험·증권'!D15</f>
        <v>188700</v>
      </c>
      <c r="F18" s="15">
        <f>'금융 — 보험·증권'!G15</f>
        <v>0.043879493698251</v>
      </c>
      <c r="G18" s="8" t="str">
        <f>'금융 — 보험·증권'!H15</f>
        <v>가능</v>
      </c>
    </row>
    <row r="19" ht="17" customHeight="1">
      <c r="B19" s="10" t="inlineStr">
        <is>
          <t>금융 — 보험·증권</t>
        </is>
      </c>
      <c r="C19" s="6" t="inlineStr">
        <is>
          <t>조찬형</t>
        </is>
      </c>
      <c r="D19" s="5" t="str">
        <f>'금융 — 보험·증권'!B11</f>
        <v>삼성생명</v>
      </c>
      <c r="E19" s="11">
        <f>'금융 — 보험·증권'!D11</f>
        <v>285500</v>
      </c>
      <c r="F19" s="12">
        <f>'금융 — 보험·증권'!G11</f>
        <v>0.066388953104667</v>
      </c>
      <c r="G19" s="6" t="str">
        <f>'금융 — 보험·증권'!H11</f>
        <v>가능</v>
      </c>
    </row>
    <row r="20" ht="17" customHeight="1">
      <c r="B20" s="13" t="inlineStr">
        <is>
          <t>금융 — 보험·증권</t>
        </is>
      </c>
      <c r="C20" s="8" t="inlineStr">
        <is>
          <t>조찬형</t>
        </is>
      </c>
      <c r="D20" s="7" t="str">
        <f>'금융 — 보험·증권'!B16</f>
        <v>한국금융지주</v>
      </c>
      <c r="E20" s="14">
        <f>'금융 — 보험·증권'!D16</f>
        <v>191200</v>
      </c>
      <c r="F20" s="15">
        <f>'금융 — 보험·증권'!G16</f>
        <v>0.044460833042425</v>
      </c>
      <c r="G20" s="8" t="str">
        <f>'금융 — 보험·증권'!H16</f>
        <v>가능</v>
      </c>
    </row>
    <row r="21" ht="17" customHeight="1">
      <c r="B21" s="10" t="inlineStr">
        <is>
          <t>금융 — 은행·지주</t>
        </is>
      </c>
      <c r="C21" s="6" t="inlineStr">
        <is>
          <t>고낭균</t>
        </is>
      </c>
      <c r="D21" s="5" t="str">
        <f>'금융 — 은행·지주'!B13</f>
        <v>하나금융지주</v>
      </c>
      <c r="E21" s="11">
        <f>'금융 — 은행·지주'!D13</f>
        <v>137600</v>
      </c>
      <c r="F21" s="12">
        <f>'금융 — 은행·지주'!G13</f>
        <v>0.0312877844490873</v>
      </c>
      <c r="G21" s="6" t="str">
        <f>'금융 — 은행·지주'!H13</f>
        <v>가능</v>
      </c>
    </row>
    <row r="22" ht="17" customHeight="1">
      <c r="B22" s="13" t="inlineStr">
        <is>
          <t>금융 — 은행·지주</t>
        </is>
      </c>
      <c r="C22" s="8" t="inlineStr">
        <is>
          <t>고낭균</t>
        </is>
      </c>
      <c r="D22" s="7" t="str">
        <f>'금융 — 은행·지주'!B12</f>
        <v>신한지주</v>
      </c>
      <c r="E22" s="14">
        <f>'금융 — 은행·지주'!D12</f>
        <v>112200</v>
      </c>
      <c r="F22" s="15">
        <f>'금융 — 은행·지주'!G12</f>
        <v>0.0255122777266541</v>
      </c>
      <c r="G22" s="8" t="str">
        <f>'금융 — 은행·지주'!H12</f>
        <v>가능</v>
      </c>
    </row>
    <row r="23" ht="17" customHeight="1">
      <c r="B23" s="10" t="inlineStr">
        <is>
          <t>금융 — 은행·지주</t>
        </is>
      </c>
      <c r="C23" s="6" t="inlineStr">
        <is>
          <t>고낭균</t>
        </is>
      </c>
      <c r="D23" s="5" t="str">
        <f>'금융 — 은행·지주'!B17</f>
        <v>JB금융지주</v>
      </c>
      <c r="E23" s="11">
        <f>'금융 — 은행·지주'!D17</f>
        <v>32200</v>
      </c>
      <c r="F23" s="12">
        <f>'금융 — 은행·지주'!G17</f>
        <v>0.00732170537253352</v>
      </c>
      <c r="G23" s="6" t="str">
        <f>'금융 — 은행·지주'!H17</f>
        <v>가능</v>
      </c>
    </row>
    <row r="24" ht="17" customHeight="1">
      <c r="B24" s="13" t="inlineStr">
        <is>
          <t>통신·미디어·엔터</t>
        </is>
      </c>
      <c r="C24" s="8" t="inlineStr">
        <is>
          <t>이서현</t>
        </is>
      </c>
      <c r="D24" s="7" t="str">
        <f>'통신·미디어·엔터'!B13</f>
        <v>LG유플러스</v>
      </c>
      <c r="E24" s="14">
        <f>'통신·미디어·엔터'!D13</f>
        <v>14850</v>
      </c>
      <c r="F24" s="15">
        <f>'통신·미디어·엔터'!G13</f>
        <v>0.00337662499323362</v>
      </c>
      <c r="G24" s="8" t="str">
        <f>'통신·미디어·엔터'!H13</f>
        <v>가능</v>
      </c>
    </row>
    <row r="25" ht="17" customHeight="1">
      <c r="B25" s="10" t="inlineStr">
        <is>
          <t>통신·미디어·엔터</t>
        </is>
      </c>
      <c r="C25" s="6" t="inlineStr">
        <is>
          <t>이서현</t>
        </is>
      </c>
      <c r="D25" s="5" t="str">
        <f>'통신·미디어·엔터'!B10</f>
        <v>SK텔레콤</v>
      </c>
      <c r="E25" s="11">
        <f>'통신·미디어·엔터'!D10</f>
        <v>88000</v>
      </c>
      <c r="F25" s="12">
        <f>'통신·미디어·엔터'!G10</f>
        <v>0.0200096295895326</v>
      </c>
      <c r="G25" s="6" t="str">
        <f>'통신·미디어·엔터'!H10</f>
        <v>가능</v>
      </c>
    </row>
    <row r="26" ht="17" customHeight="1">
      <c r="B26" s="13" t="inlineStr">
        <is>
          <t>통신·미디어·엔터</t>
        </is>
      </c>
      <c r="C26" s="8" t="inlineStr">
        <is>
          <t>이서현</t>
        </is>
      </c>
      <c r="D26" s="7" t="str">
        <f>'통신·미디어·엔터'!B16</f>
        <v>에스엠</v>
      </c>
      <c r="E26" s="14">
        <f>'통신·미디어·엔터'!D16</f>
        <v>87500</v>
      </c>
      <c r="F26" s="15">
        <f>'통신·미디어·엔터'!G16</f>
        <v>0.0198959385123193</v>
      </c>
      <c r="G26" s="8" t="str">
        <f>'통신·미디어·엔터'!H16</f>
        <v>가능</v>
      </c>
    </row>
    <row r="27" ht="17" customHeight="1">
      <c r="B27" s="10" t="inlineStr">
        <is>
          <t>소비재·유통</t>
        </is>
      </c>
      <c r="C27" s="6" t="inlineStr">
        <is>
          <t>서민지</t>
        </is>
      </c>
      <c r="D27" s="5" t="str">
        <f>'소비재·유통'!B12</f>
        <v>에이피알</v>
      </c>
      <c r="E27" s="11">
        <f>'소비재·유통'!D12</f>
        <v>361500</v>
      </c>
      <c r="F27" s="12">
        <f>'소비재·유통'!G12</f>
        <v>0.0821986488251822</v>
      </c>
      <c r="G27" s="6" t="str">
        <f>'소비재·유통'!H12</f>
        <v>가능</v>
      </c>
    </row>
    <row r="28" ht="17" customHeight="1">
      <c r="B28" s="13" t="inlineStr">
        <is>
          <t>소비재·유통</t>
        </is>
      </c>
      <c r="C28" s="8" t="inlineStr">
        <is>
          <t>서민지</t>
        </is>
      </c>
      <c r="D28" s="7" t="str">
        <f>'소비재·유통'!B13</f>
        <v>삼양식품</v>
      </c>
      <c r="E28" s="14">
        <f>'소비재·유통'!D13</f>
        <v>1277000</v>
      </c>
      <c r="F28" s="15">
        <f>'소비재·유통'!G13</f>
        <v>0.290367011202649</v>
      </c>
      <c r="G28" s="8" t="str">
        <f>'소비재·유통'!H13</f>
        <v>가능</v>
      </c>
    </row>
    <row r="29" ht="17" customHeight="1">
      <c r="B29" s="10" t="inlineStr">
        <is>
          <t>소비재·유통</t>
        </is>
      </c>
      <c r="C29" s="6" t="inlineStr">
        <is>
          <t>서민지</t>
        </is>
      </c>
      <c r="D29" s="5" t="str">
        <f>'소비재·유통'!B23</f>
        <v>코스맥스</v>
      </c>
      <c r="E29" s="11">
        <f>'소비재·유통'!D23</f>
        <v>273000</v>
      </c>
      <c r="F29" s="12">
        <f>'소비재·유통'!G23</f>
        <v>0.0620753281584363</v>
      </c>
      <c r="G29" s="6" t="str">
        <f>'소비재·유통'!H23</f>
        <v>가능</v>
      </c>
    </row>
    <row r="31" ht="16" customHeight="1">
      <c r="B31" s="16" t="inlineStr">
        <is>
          <t>완료 5/5.  5개 산업 모두 Top 3와 탈락 5종목을 채웠다. 발제 후보 15종목 중 매수 제약(IC 2/3 · 매수 불가)에 걸리는 종목은 0종목이다.</t>
        </is>
      </c>
    </row>
    <row r="32" ht="28" customHeight="1">
      <c r="B32" s="16" t="inlineStr">
        <is>
          <t>양식 버전이 섞여 있다. 헬스케어·바이오(윤지원)와 금융 — 보험·증권(조찬형)은 구버전 양식(팀 예산 4,300,414원), 나머지 3개는 신버전(4,397,883원)이다. 두 시트의 「1주 / 팀예산」은 구버전 예산 기준이다.</t>
        </is>
      </c>
    </row>
    <row r="33" ht="16" customHeight="1">
      <c r="B33" s="16" t="inlineStr">
        <is>
          <t>헬스케어·바이오는 구버전이라 42종목(BM 3.87%)이다. 신버전은 삼성에피스홀딩스·한미사이언스가 추가된 44종목(4.09%)이다. 두 종목 검토를 추가한다.</t>
        </is>
      </c>
    </row>
    <row r="34" ht="16" customHeight="1">
      <c r="B34" s="16" t="inlineStr">
        <is>
          <t>「지주 — 내수·소비」는 신버전에서 폐지돼 넣지 않았다. 소속 8종목은 소비재·유통(6종목)과 헬스케어·바이오(2종목)로 옮겨졌다.</t>
        </is>
      </c>
    </row>
    <row r="35" ht="28" customHeight="1">
      <c r="B35" s="16" t="inlineStr">
        <is>
          <t>판정 칸에 드롭다운(Top1~3 / 보류 / 탈락) 대신 자유 입력을 쓴 시트가 있다. 헬스케어·바이오 「매수」, 은행·지주 「매수」·「메수」(오타), 보험·증권 「Top 1」·「탈락 1」. 집계 시 주의한다.</t>
        </is>
      </c>
    </row>
    <row r="36" ht="16" customHeight="1">
      <c r="B36" s="16" t="inlineStr">
        <is>
          <t>전 종목 검토가 비어 있다. 헬스케어·바이오 29종목, 소비재·유통 18종목, 보험·증권 7종목은 재무지표(CAGR~PER/PBR)와 판정이 공란이다.</t>
        </is>
      </c>
    </row>
    <row r="37" ht="16" customHeight="1">
      <c r="B37" s="16" t="inlineStr">
        <is>
          <t>소비재·유통은 선정 결과 종목명을 B열이 아닌 C열에 적었고 Top 1~3 선정 근거가 없다. 근거 2줄을 채운다.</t>
        </is>
      </c>
    </row>
    <row r="38" ht="28" customHeight="1">
      <c r="B38" s="16" t="inlineStr">
        <is>
          <t>은행·지주의 「매출 CAGR(3Y)」 칸에 비율이 아닌 금액(원 단위)이 들어가 있고, ROE가 1.9~3.2%로 연간 수치로 보기 어렵다. 분기 수치인지 확인한다. 탈락 2 종목명 「KB끔융」은 오타다.</t>
        </is>
      </c>
    </row>
    <row r="39" ht="28" customHeight="1">
      <c r="B39" s="16" t="inlineStr">
        <is>
          <t>작성요령상 「저평가되어 있다」 같은 검증 불가 표현과 개략값(약 ○배)은 쓰지 않는다. 보험·증권(O11·O13·O16·O22·C38), 은행·지주(O13~O15·O18·O19·C22·C27~C29), 소비재·유통(O15·O22)에 남아 있다.</t>
        </is>
      </c>
    </row>
    <row r="40" ht="16" customHeight="1">
      <c r="B40" s="16" t="inlineStr">
        <is>
          <t>헬스케어·바이오, 보험·증권, 통신·미디어·엔터 시트의 상단 담당자·제출일은 비어 있어 취합 시 채웠다. 제출일은 윤지원 9/22 · 조찬형 9/21 · 이서현 9/22다.</t>
        </is>
      </c>
    </row>
    <row r="41" ht="16" customHeight="1">
      <c r="B41" s="16" t="inlineStr">
        <is>
          <t>삼성바이오로직스는 1주 1,412,000원이 팀 예산의 32.1%(신버전 기준), 삼양식품은 29.0%다. 편입 시 나머지 후보의 자리를 먼저 계산한다.</t>
        </is>
      </c>
    </row>
    <row r="42" ht="16" customHeight="1">
      <c r="B42" s="16" t="inlineStr">
        <is>
          <t>원본 파일은 각자 전체 시트를 반환했다. 이 파일은 팀 3 담당 5시트와 작성요령만 남기고 시트명 앞 「3_」을 지웠다. 개인 참고 시트(분석자료 · 데이터가이드6 · Sheet1)는 제외했다.</t>
        </is>
      </c>
    </row>
  </sheetData>
  <mergeCells count="12">
    <mergeCell ref="B33:J33"/>
    <mergeCell ref="B34:J34"/>
    <mergeCell ref="B37:J37"/>
    <mergeCell ref="B42:J42"/>
    <mergeCell ref="B36:J36"/>
    <mergeCell ref="B32:J32"/>
    <mergeCell ref="B31:J31"/>
    <mergeCell ref="B40:J40"/>
    <mergeCell ref="B41:J41"/>
    <mergeCell ref="B35:J35"/>
    <mergeCell ref="B39:J39"/>
    <mergeCell ref="B38:J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selection activeCell="A1" sqref="A1"/>
    </sheetView>
  </sheetViews>
  <sheetFormatPr baseColWidth="8" defaultRowHeight="15"/>
  <cols>
    <col width="3" customWidth="1" min="1" max="1"/>
    <col width="20" customWidth="1" min="2" max="2"/>
    <col width="88" customWidth="1" min="3" max="3"/>
  </cols>
  <sheetData>
    <row r="1" ht="23" customHeight="1">
      <c r="B1" s="17" t="inlineStr">
        <is>
          <t>담당 산업 스크리닝 작성요령</t>
        </is>
      </c>
    </row>
    <row r="2">
      <c r="B2" s="18" t="inlineStr">
        <is>
          <t>ICOK Fund 26-2  ·  기준일 2026-09-15 종가</t>
        </is>
      </c>
    </row>
    <row r="3" ht="3" customHeight="1">
      <c r="B3" s="19" t="n"/>
      <c r="C3" s="19" t="n"/>
    </row>
    <row r="4"/>
    <row r="5" ht="17" customHeight="1">
      <c r="B5" s="20" t="inlineStr">
        <is>
          <t>과제 개요</t>
        </is>
      </c>
      <c r="C5" s="21" t="inlineStr">
        <is>
          <t>담당 산업의 전 종목을 검토하여 발제 후보 3종목을 선정한다.</t>
        </is>
      </c>
    </row>
    <row r="6" ht="17" customHeight="1">
      <c r="B6" s="22" t="n"/>
      <c r="C6" s="21" t="inlineStr">
        <is>
          <t>선정한 3종목 중 1종목을 10월 13일 세션에서 발제한다.</t>
        </is>
      </c>
    </row>
    <row r="7" ht="17" customHeight="1">
      <c r="B7" s="23" t="n"/>
      <c r="C7" s="21" t="inlineStr">
        <is>
          <t>선정 근거와 함께 탈락 근거를 반드시 기재한다.</t>
        </is>
      </c>
    </row>
    <row r="8"/>
    <row r="9" ht="17" customHeight="1">
      <c r="B9" s="20" t="inlineStr">
        <is>
          <t>작성 순서</t>
        </is>
      </c>
      <c r="C9" s="21" t="inlineStr">
        <is>
          <t>1.  하위 테마를 2~4개로 분류한다.   예) 에너지 → 태양광 / 풍력 / 원자력 / ESS</t>
        </is>
      </c>
    </row>
    <row r="10" ht="17" customHeight="1">
      <c r="B10" s="22" t="n"/>
      <c r="C10" s="21" t="inlineStr">
        <is>
          <t>2.  매출 CAGR(3년) · 영업이익률 · ROE · PER(또는 PBR)을 기입한다.</t>
        </is>
      </c>
    </row>
    <row r="11" ht="17" customHeight="1">
      <c r="B11" s="22" t="n"/>
      <c r="C11" s="21" t="inlineStr">
        <is>
          <t>3.  주요 제품과 시장 포지셔닝을 각 한 줄로 기입한다.</t>
        </is>
      </c>
    </row>
    <row r="12" ht="17" customHeight="1">
      <c r="B12" s="22" t="n"/>
      <c r="C12" s="21" t="inlineStr">
        <is>
          <t>4.  판정 칸에 Top1~3 / 보류 / 탈락을 선택한다.</t>
        </is>
      </c>
    </row>
    <row r="13" ht="17" customHeight="1">
      <c r="B13" s="23" t="n"/>
      <c r="C13" s="21" t="inlineStr">
        <is>
          <t>5.  시트 하단 「선정 결과」에 Top 3 근거와 탈락 5종목 사유를 기입한다.</t>
        </is>
      </c>
    </row>
    <row r="14"/>
    <row r="15" ht="17" customHeight="1">
      <c r="B15" s="20" t="inlineStr">
        <is>
          <t>기입 완료 항목</t>
        </is>
      </c>
      <c r="C15" s="21" t="inlineStr">
        <is>
          <t>기업명 · 종목코드 · 주가 · 시가총액 · 지수 비중 · 1주가 팀 예산에서 차지하는 비중 · 매수 판정</t>
        </is>
      </c>
    </row>
    <row r="16" ht="17" customHeight="1">
      <c r="B16" s="23" t="n"/>
      <c r="C16" s="21" t="inlineStr">
        <is>
          <t>음영 처리된 셀이며 수정하지 않는다.</t>
        </is>
      </c>
    </row>
    <row r="17"/>
    <row r="18" ht="17" customHeight="1">
      <c r="B18" s="20" t="inlineStr">
        <is>
          <t>지수 비중</t>
        </is>
      </c>
      <c r="C18" s="21" t="inlineStr">
        <is>
          <t>KRX 300 비중은 해당 종목의 중립 비중이다.</t>
        </is>
      </c>
    </row>
    <row r="19" ht="17" customHeight="1">
      <c r="B19" s="22" t="n"/>
      <c r="C19" s="21" t="inlineStr">
        <is>
          <t>예)  비중 0.5% 종목을 1.5% 편입 → 액티브 +1.0%p  /  미편입 → 액티브 −0.5%p</t>
        </is>
      </c>
    </row>
    <row r="20" ht="17" customHeight="1">
      <c r="B20" s="23" t="n"/>
      <c r="C20" s="21" t="inlineStr">
        <is>
          <t>지수 미편입 종목은 중립 비중이 0이므로 편입 시 전량 액티브 포지션으로 기록된다.</t>
        </is>
      </c>
    </row>
    <row r="21"/>
    <row r="22" ht="17" customHeight="1">
      <c r="B22" s="20" t="inlineStr">
        <is>
          <t>매수 판정</t>
        </is>
      </c>
      <c r="C22" s="21" t="inlineStr">
        <is>
          <t>1주 가격이 높아 최소 매수 단위만으로 한도를 초과하는 종목이 있다. 종목 선정 전에 확인한다.</t>
        </is>
      </c>
    </row>
    <row r="23" ht="17" customHeight="1">
      <c r="B23" s="22" t="n"/>
      <c r="C23" s="21" t="inlineStr">
        <is>
          <t>가능 = 팀 재량  /  IC 2/3 = 펀드 IC 특별의결  /  매수 불가 = 1주도 편입 불가</t>
        </is>
      </c>
    </row>
    <row r="24" ht="17" customHeight="1">
      <c r="B24" s="23" t="n"/>
      <c r="C24" s="21" t="inlineStr">
        <is>
          <t>예)  효성중공업 : 지수 비중 0.47%, 1주 2,689,000원 → 1주 매수 시 한도 초과</t>
        </is>
      </c>
    </row>
    <row r="25"/>
    <row r="26" ht="17" customHeight="1">
      <c r="B26" s="20" t="inlineStr">
        <is>
          <t>자료 기준</t>
        </is>
      </c>
      <c r="C26" s="21" t="inlineStr">
        <is>
          <t>모든 수치에 출처와 기준일을 기재한다.</t>
        </is>
      </c>
    </row>
    <row r="27" ht="17" customHeight="1">
      <c r="B27" s="23" t="n"/>
      <c r="C27" s="21" t="inlineStr">
        <is>
          <t>1순위 자료는 DART 사업보고서이며, 증권사 리포트는 참고 자료로만 사용한다.</t>
        </is>
      </c>
    </row>
    <row r="28"/>
    <row r="29" ht="17" customHeight="1">
      <c r="B29" s="20" t="inlineStr">
        <is>
          <t>작성 시 유의사항</t>
        </is>
      </c>
      <c r="C29" s="21" t="inlineStr">
        <is>
          <t>증권사 리포트를 논지의 근거로 사용하지 않는다. 목표주가를 인용하지 않는다.</t>
        </is>
      </c>
    </row>
    <row r="30" ht="17" customHeight="1">
      <c r="B30" s="22" t="n"/>
      <c r="C30" s="21" t="inlineStr">
        <is>
          <t>검증 불가능한 표현(유망하다, 성장성이 크다, 저평가되어 있다 등)을 사용하지 않는다.</t>
        </is>
      </c>
    </row>
    <row r="31" ht="17" customHeight="1">
      <c r="B31" s="23" t="n"/>
      <c r="C31" s="21" t="inlineStr">
        <is>
          <t>수치를 개략값(약 ○조 등)으로 기재하지 않는다.</t>
        </is>
      </c>
    </row>
  </sheetData>
  <mergeCells count="7">
    <mergeCell ref="B5:B7"/>
    <mergeCell ref="B9:B13"/>
    <mergeCell ref="B29:B31"/>
    <mergeCell ref="B15:B16"/>
    <mergeCell ref="B26:B27"/>
    <mergeCell ref="B18:B20"/>
    <mergeCell ref="B22:B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2"/>
  <sheetViews>
    <sheetView showGridLines="0" workbookViewId="0">
      <pane xSplit="1" ySplit="13" topLeftCell="B14"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8" customWidth="1" min="3" max="3"/>
    <col width="10" customWidth="1" min="4" max="4"/>
    <col width="11" customWidth="1" min="5" max="5"/>
    <col width="10" customWidth="1" min="6" max="6"/>
    <col width="11" customWidth="1" min="7" max="7"/>
    <col width="10" customWidth="1" min="8" max="8"/>
    <col width="12" customWidth="1" min="9" max="9"/>
    <col width="10" customWidth="1" min="10" max="10"/>
    <col width="9" customWidth="1" min="11" max="11"/>
    <col width="11" customWidth="1" min="12" max="12"/>
    <col width="22" customWidth="1" min="13" max="13"/>
    <col width="26" customWidth="1" min="14" max="14"/>
    <col width="34" customWidth="1" min="15" max="15"/>
    <col width="18" customWidth="1" min="16" max="16"/>
    <col width="9" customWidth="1" min="17" max="17"/>
  </cols>
  <sheetData>
    <row r="1" ht="22.05" customHeight="1">
      <c r="A1" s="17" t="inlineStr">
        <is>
          <t>헬스케어·바이오</t>
        </is>
      </c>
    </row>
    <row r="2">
      <c r="A2" s="18" t="inlineStr">
        <is>
          <t>ICOK Fund 26-2  ·  담당 산업 스크리닝</t>
        </is>
      </c>
    </row>
    <row r="3" ht="3" customHeight="1">
      <c r="A3" s="19" t="n"/>
      <c r="B3" s="19" t="n"/>
      <c r="C3" s="19" t="n"/>
      <c r="D3" s="19" t="n"/>
      <c r="E3" s="19" t="n"/>
      <c r="F3" s="19" t="n"/>
      <c r="G3" s="19" t="n"/>
      <c r="H3" s="19" t="n"/>
      <c r="I3" s="19" t="n"/>
      <c r="J3" s="19" t="n"/>
      <c r="K3" s="19" t="n"/>
      <c r="L3" s="19" t="n"/>
      <c r="M3" s="19" t="n"/>
      <c r="N3" s="19" t="n"/>
      <c r="O3" s="19" t="n"/>
      <c r="P3" s="19" t="n"/>
      <c r="Q3" s="19" t="n"/>
    </row>
    <row r="4" ht="16.95" customHeight="1">
      <c r="A4" s="20" t="inlineStr">
        <is>
          <t>팀</t>
        </is>
      </c>
      <c r="B4" s="24" t="inlineStr">
        <is>
          <t>팀 3 · 내수·디펜시브</t>
        </is>
      </c>
      <c r="C4" s="25" t="n"/>
      <c r="D4" s="20" t="inlineStr">
        <is>
          <t>담당자</t>
        </is>
      </c>
      <c r="E4" s="24" t="inlineStr">
        <is>
          <t>윤지원</t>
        </is>
      </c>
      <c r="F4" s="25" t="n"/>
      <c r="G4" s="20" t="inlineStr">
        <is>
          <t>제출일</t>
        </is>
      </c>
      <c r="H4" s="26" t="n">
        <v>46287</v>
      </c>
      <c r="I4" s="25" t="n"/>
    </row>
    <row r="5" ht="16.95" customHeight="1">
      <c r="A5" s="20" t="inlineStr">
        <is>
          <t>지수 비중</t>
        </is>
      </c>
      <c r="B5" s="24" t="inlineStr">
        <is>
          <t>3.87%</t>
        </is>
      </c>
      <c r="C5" s="25" t="n"/>
      <c r="D5" s="20" t="inlineStr">
        <is>
          <t>배정액</t>
        </is>
      </c>
      <c r="E5" s="24" t="inlineStr">
        <is>
          <t>1,083,543원</t>
        </is>
      </c>
      <c r="F5" s="25" t="n"/>
      <c r="G5" s="20" t="inlineStr">
        <is>
          <t>종목 수</t>
        </is>
      </c>
      <c r="H5" s="24" t="inlineStr">
        <is>
          <t>42</t>
        </is>
      </c>
      <c r="I5" s="25" t="n"/>
      <c r="J5" s="20" t="inlineStr">
        <is>
          <t>기준일</t>
        </is>
      </c>
      <c r="K5" s="24" t="inlineStr">
        <is>
          <t>2026-09-15</t>
        </is>
      </c>
      <c r="L5" s="25" t="n"/>
    </row>
    <row r="6"/>
    <row r="7" ht="15" customHeight="1">
      <c r="A7" s="27" t="inlineStr">
        <is>
          <t>42종목 중 다수가 매출 미발생 임상 단계 기업이다. 매출·영업이익률·PER 산출이 불가능한 기업은 하위 테마에 「파이프라인」으로 표기한다.</t>
        </is>
      </c>
    </row>
    <row r="8">
      <c r="A8" s="18" t="inlineStr">
        <is>
          <t>음영 셀은 기입 완료. 흰색 셀만 작성한다.</t>
        </is>
      </c>
    </row>
    <row r="9"/>
    <row r="10" ht="25.95" customHeight="1">
      <c r="A10" s="28" t="inlineStr">
        <is>
          <t>하위 테마</t>
        </is>
      </c>
      <c r="B10" s="28" t="inlineStr">
        <is>
          <t>기업명</t>
        </is>
      </c>
      <c r="C10" s="28" t="inlineStr">
        <is>
          <t>코드</t>
        </is>
      </c>
      <c r="D10" s="28" t="inlineStr">
        <is>
          <t>주가</t>
        </is>
      </c>
      <c r="E10" s="28" t="inlineStr">
        <is>
          <t>시가총액(조)</t>
        </is>
      </c>
      <c r="F10" s="28" t="inlineStr">
        <is>
          <t>지수 비중</t>
        </is>
      </c>
      <c r="G10" s="28" t="inlineStr">
        <is>
          <t>1주 / 팀예산</t>
        </is>
      </c>
      <c r="H10" s="28" t="inlineStr">
        <is>
          <t>매수 판정</t>
        </is>
      </c>
      <c r="I10" s="28" t="inlineStr">
        <is>
          <t>매출 CAGR(3Y)</t>
        </is>
      </c>
      <c r="J10" s="28" t="inlineStr">
        <is>
          <t>영업이익률</t>
        </is>
      </c>
      <c r="K10" s="28" t="inlineStr">
        <is>
          <t>ROE</t>
        </is>
      </c>
      <c r="L10" s="28" t="inlineStr">
        <is>
          <t>PER / PBR</t>
        </is>
      </c>
      <c r="M10" s="28" t="inlineStr">
        <is>
          <t>주요 제품</t>
        </is>
      </c>
      <c r="N10" s="28" t="inlineStr">
        <is>
          <t>시장 포지셔닝</t>
        </is>
      </c>
      <c r="O10" s="28" t="inlineStr">
        <is>
          <t>투자포인트 / 탈락 사유</t>
        </is>
      </c>
      <c r="P10" s="28" t="inlineStr">
        <is>
          <t>출처 · 기준일</t>
        </is>
      </c>
      <c r="Q10" s="28" t="inlineStr">
        <is>
          <t>판정</t>
        </is>
      </c>
    </row>
    <row r="11" ht="79.2" customHeight="1">
      <c r="A11" s="29" t="n"/>
      <c r="B11" s="30" t="inlineStr">
        <is>
          <t>삼성바이오로직스</t>
        </is>
      </c>
      <c r="C11" s="31" t="inlineStr">
        <is>
          <t>207940</t>
        </is>
      </c>
      <c r="D11" s="32" t="n">
        <v>1412000</v>
      </c>
      <c r="E11" s="33" t="n">
        <v>65.36282300000001</v>
      </c>
      <c r="F11" s="34" t="n">
        <v>0.01227218301230388</v>
      </c>
      <c r="G11" s="35" t="n">
        <v>0.3283404615894563</v>
      </c>
      <c r="H11" s="31" t="inlineStr">
        <is>
          <t>가능</t>
        </is>
      </c>
      <c r="I11" s="36" t="n">
        <v>0.246</v>
      </c>
      <c r="J11" s="37" t="n">
        <v>0.4527</v>
      </c>
      <c r="K11" s="37" t="n">
        <v>0.1076</v>
      </c>
      <c r="L11" s="38" t="inlineStr">
        <is>
          <t>73.46배/7.90배</t>
        </is>
      </c>
      <c r="M11" s="21" t="inlineStr">
        <is>
          <t>바이오의약품 위탁생산 및 세포주ㆍ공정 개발의 위탁 개발 서비스를 제공하는CDMO 사업      추가로 mRNA, ADC, 세포/유전자 치료제 등 차세대 바이오의약품으로 사업 영역 확장 중</t>
        </is>
      </c>
      <c r="N11" s="21" t="inlineStr">
        <is>
          <t>대부분 유럽에서 매출 발생(59.3%),  인적분할 절차를 완료하며 본연의 위탁개발생산(CDMO) 사업에 집중하기 위한 체제로 전환하여 순수 위탁개발생산(CDMO) 기업으로서의 글로벌
경쟁력을 더욱 강화할 계획</t>
        </is>
      </c>
      <c r="O11" s="21" t="inlineStr">
        <is>
          <t>매출 2.58조 원, 영업이익 1.17조 원으로 영업이익률이 45.3%. 글로벌 대형 제약사들과의 장기 CDMO 계약을 바탕으로 시가총액 66조 원 수준의 바이오 대장주 위치.</t>
        </is>
      </c>
      <c r="P11" s="21" t="inlineStr">
        <is>
          <t>반기보고서</t>
        </is>
      </c>
      <c r="Q11" s="21" t="inlineStr">
        <is>
          <t>매수</t>
        </is>
      </c>
    </row>
    <row r="12" ht="92.40000000000001" customHeight="1">
      <c r="A12" s="39" t="n"/>
      <c r="B12" s="30" t="inlineStr">
        <is>
          <t>셀트리온</t>
        </is>
      </c>
      <c r="C12" s="31" t="inlineStr">
        <is>
          <t>068270</t>
        </is>
      </c>
      <c r="D12" s="32" t="n">
        <v>177500</v>
      </c>
      <c r="E12" s="33" t="n">
        <v>41.289549</v>
      </c>
      <c r="F12" s="34" t="n">
        <v>0.00775231054239332</v>
      </c>
      <c r="G12" s="35" t="n">
        <v>0.04127509343635163</v>
      </c>
      <c r="H12" s="31" t="inlineStr">
        <is>
          <t>가능</t>
        </is>
      </c>
      <c r="I12" s="40" t="n">
        <v>0.384</v>
      </c>
      <c r="J12" s="40" t="n">
        <v>0.3048</v>
      </c>
      <c r="K12" s="40" t="n">
        <v>0.04</v>
      </c>
      <c r="L12" s="41" t="inlineStr">
        <is>
          <t>57.37배/2.29배</t>
        </is>
      </c>
      <c r="M12" s="41" t="inlineStr">
        <is>
          <t>생명공학 기술을 기반으로 자가면역질환, 종양 등 질병의 치료에 사용되는 의약품을 개발 및 상업화하는 것을 주요 목적 사업으로 하는 글로벌 생명공학 기업(바이오의약품, 케미컬의약품, 기타)</t>
        </is>
      </c>
      <c r="N12" s="41" t="inlineStr">
        <is>
          <t>당사가 설립한 해외현지법인을 통한 직접판매 방식과 해외 제약사와의 판매계약에 따른 간접판매 방식으로 구분됨. 유럽, 아시아, 중남미, 미국, 캐나다 등에서 전 제품을 안정적으로 직접판매</t>
        </is>
      </c>
      <c r="O12" s="41" t="inlineStr">
        <is>
          <t>영업이익률 30.5%로 양호하지만  통합 셀트리온 출범 이후 ROE 4.0%로 한동안 낮게 유지되고 있기 때문</t>
        </is>
      </c>
      <c r="P12" s="41" t="inlineStr">
        <is>
          <t>반기보고서</t>
        </is>
      </c>
      <c r="Q12" s="41" t="inlineStr">
        <is>
          <t>보류</t>
        </is>
      </c>
    </row>
    <row r="13" ht="132" customHeight="1">
      <c r="A13" s="29" t="n"/>
      <c r="B13" s="30" t="inlineStr">
        <is>
          <t>알테오젠</t>
        </is>
      </c>
      <c r="C13" s="31" t="inlineStr">
        <is>
          <t>196170</t>
        </is>
      </c>
      <c r="D13" s="32" t="n">
        <v>260000</v>
      </c>
      <c r="E13" s="33" t="n">
        <v>18.110335</v>
      </c>
      <c r="F13" s="34" t="n">
        <v>0.003400302118746193</v>
      </c>
      <c r="G13" s="35" t="n">
        <v>0.06045929179409253</v>
      </c>
      <c r="H13" s="31" t="inlineStr">
        <is>
          <t>가능</t>
        </is>
      </c>
      <c r="I13" s="36" t="n">
        <v>0.497</v>
      </c>
      <c r="J13" s="36" t="n">
        <v>0.523</v>
      </c>
      <c r="K13" s="36" t="n">
        <v>0.1852</v>
      </c>
      <c r="L13" s="21" t="inlineStr">
        <is>
          <t>141.28배/26.16배</t>
        </is>
      </c>
      <c r="M13" s="21" t="inlineStr">
        <is>
          <t>정맥주사 제형을 피하주사 제형으로 전환해주는 히알루로니다제 단백질 공학 기술, 지속형 바이오의약품 기반 기술인 NexP™ 융합, 차세대 항체-약물접합체 기반 기술인 NexMab™ (ADC 기술) 등 플랫폼 기술 등을 기반으로 바이오의약품(바이오베터, 바이오신약 등)의 연구개발, 생산 및 판매 활동을 영위</t>
        </is>
      </c>
      <c r="N13" s="21" t="inlineStr">
        <is>
          <t>핵심 자산인 ALT-B4를 사용한 피하주사(SC) 제형으로 기존 정맥주사(IV) 제형에 비해 환자의 투약 편의성 및 약물전달의 효율을 증대시키고 전반적인 의료 비용 절감 가능. 글로벌 제약사의 정맥주사 제품 외에 피하주사 제품을 추가함으로써 특허 연장 수단으로 활용할 수 있으며, 전 세계에서 가장 큰 의약품 시장인 미국의 메디케어 약가 인하 협상에서도 제외될 가능성</t>
        </is>
      </c>
      <c r="O13" s="21" t="inlineStr">
        <is>
          <t>SC 제형 변경 기술(ALT-B4)의 기술이전으로 ROE 18.5%의 높은 수익성을 기록 중. 성장성 관점에서 좋다고 생각함.</t>
        </is>
      </c>
      <c r="P13" s="21" t="inlineStr">
        <is>
          <t>반기보고서</t>
        </is>
      </c>
      <c r="Q13" s="21" t="inlineStr">
        <is>
          <t>매수</t>
        </is>
      </c>
    </row>
    <row r="14" ht="184.8" customHeight="1">
      <c r="A14" s="39" t="n"/>
      <c r="B14" s="30" t="inlineStr">
        <is>
          <t>한미약품</t>
        </is>
      </c>
      <c r="C14" s="31" t="inlineStr">
        <is>
          <t>128940</t>
        </is>
      </c>
      <c r="D14" s="32" t="n">
        <v>496500</v>
      </c>
      <c r="E14" s="33" t="n">
        <v>6.360657</v>
      </c>
      <c r="F14" s="34" t="n">
        <v>0.001194243810162418</v>
      </c>
      <c r="G14" s="35" t="n">
        <v>0.1154539937529498</v>
      </c>
      <c r="H14" s="31" t="inlineStr">
        <is>
          <t>가능</t>
        </is>
      </c>
      <c r="I14" s="40" t="n">
        <v>0.019</v>
      </c>
      <c r="J14" s="40" t="n">
        <v>0.2148</v>
      </c>
      <c r="K14" s="40" t="n">
        <v>0.0851</v>
      </c>
      <c r="L14" s="41" t="inlineStr">
        <is>
          <t>43.95배/3.74배</t>
        </is>
      </c>
      <c r="M14" s="41" t="inlineStr">
        <is>
          <t>의약품(이상지질혈증치료제 '로수젯', 복합고혈압치료제 '아모잘탄', 역류성식도염치료제 '에소메졸', 전립선비대증치료제 '한미탐스캡슐', 발기부전치료제 '팔팔정' 등) 원료의약품(PEG, mRNA Capping 개발 등 차세대 의약품 분야에서도 기술 경쟁력을 확보하며 API 사업을 넘어 CDMO를 포함한 고부가가치 사업 구조로의 전환을 본격화), 해외의약품(어린이용 정장제 '마미아이'와 기침가래약 '이탄징'이며, 성인용정장제 '매창안' 등)</t>
        </is>
      </c>
      <c r="N14" s="41" t="inlineStr">
        <is>
          <t>스마트폰 등을 이용한 현장 중심의 영업, 적극적인 학회 참여 및 학술활동 강화, 축적된 임상 데이터를 통한 제품의 특장점 홍보, 철저한 시장분석을 통한 제품 포트폴리오 구성</t>
        </is>
      </c>
      <c r="O14" s="41" t="inlineStr">
        <is>
          <t>자체 개량신약 중심의 안정적 실적과 비만치료제 파이프라인으로 성장성 좋음</t>
        </is>
      </c>
      <c r="P14" s="41" t="inlineStr">
        <is>
          <t>반기보고서</t>
        </is>
      </c>
      <c r="Q14" s="41" t="inlineStr">
        <is>
          <t>매수</t>
        </is>
      </c>
    </row>
    <row r="15" ht="105.6" customHeight="1">
      <c r="A15" s="29" t="n"/>
      <c r="B15" s="30" t="inlineStr">
        <is>
          <t>SK바이오팜</t>
        </is>
      </c>
      <c r="C15" s="31" t="inlineStr">
        <is>
          <t>326030</t>
        </is>
      </c>
      <c r="D15" s="32" t="n">
        <v>78100</v>
      </c>
      <c r="E15" s="33" t="n">
        <v>6.116265</v>
      </c>
      <c r="F15" s="34" t="n">
        <v>0.001148358041875712</v>
      </c>
      <c r="G15" s="35" t="n">
        <v>0.01816104111199472</v>
      </c>
      <c r="H15" s="31" t="inlineStr">
        <is>
          <t>가능</t>
        </is>
      </c>
      <c r="I15" s="36" t="n">
        <v>0.412</v>
      </c>
      <c r="J15" s="36" t="n">
        <v>0.3931</v>
      </c>
      <c r="K15" s="36" t="n">
        <v>0.1838</v>
      </c>
      <c r="L15" s="36" t="inlineStr">
        <is>
          <t>33.32배/6.12배</t>
        </is>
      </c>
      <c r="M15" s="21" t="inlineStr">
        <is>
          <t>뇌전증 치료 신약 세노바메이트(98.5%), 수면장애 신약 솔리암페놀(1.5%), 기타</t>
        </is>
      </c>
      <c r="N15" s="21" t="inlineStr">
        <is>
          <t xml:space="preserve"> 거대한 글로벌 신약 시장을 타겟으로 중추신경계 분야 중 특히 뇌전증 분야의 혁신 신약 개발에 집중,  직접 판매하고 있는 미국시장 제외, 유럽을 포함한 중국, 일본, 한국, 호주, 캐나다, 라틴아메리카, 중동 및 북아프리카(MENA) 지역 등 대부분의 국가에 기술수출 계약 체결</t>
        </is>
      </c>
      <c r="O15" s="21" t="inlineStr">
        <is>
          <t>SK바이오팜은 뇌전증 치료제(엑스코프리) 흑자 전환 가속화로 펀더멘털이 급격히 개선되는 중</t>
        </is>
      </c>
      <c r="P15" s="21" t="inlineStr">
        <is>
          <t>반기보고서</t>
        </is>
      </c>
      <c r="Q15" s="21" t="inlineStr">
        <is>
          <t>매수</t>
        </is>
      </c>
    </row>
    <row r="16" ht="105.6" customHeight="1">
      <c r="A16" s="39" t="n"/>
      <c r="B16" s="30" t="inlineStr">
        <is>
          <t>유한양행</t>
        </is>
      </c>
      <c r="C16" s="31" t="inlineStr">
        <is>
          <t>000100</t>
        </is>
      </c>
      <c r="D16" s="32" t="n">
        <v>79300</v>
      </c>
      <c r="E16" s="33" t="n">
        <v>5.837731</v>
      </c>
      <c r="F16" s="34" t="n">
        <v>0.001096061949597858</v>
      </c>
      <c r="G16" s="35" t="n">
        <v>0.01844008399719822</v>
      </c>
      <c r="H16" s="31" t="inlineStr">
        <is>
          <t>가능</t>
        </is>
      </c>
      <c r="I16" s="40" t="n">
        <v>0.101</v>
      </c>
      <c r="J16" s="40" t="n">
        <v>0.0649</v>
      </c>
      <c r="K16" s="40" t="n">
        <v>0.037</v>
      </c>
      <c r="L16" s="41" t="inlineStr">
        <is>
          <t>71.09배/2.63배</t>
        </is>
      </c>
      <c r="M16" s="41" t="inlineStr">
        <is>
          <t>의약품: 렉라자, 로수바미브,코푸시럽,삐콤씨 등, 식음료품: 내일엔 등, 생활용품: 유한락스, 유한젠, 주방/세탁세제, AHC: 웰니스, 델라콘 등, 수출: 에이즈 치료제, C형 간염 치료제, 항생제 등, 부동산 매매업: 임대, 화장품: 단시, 더마푸라민 등</t>
        </is>
      </c>
      <c r="N16" s="41" t="inlineStr">
        <is>
          <t xml:space="preserve">R&amp;D 부문에서 혁신신약 렉라자가 글로벌 시장에서 올해부터 본격적인 사용량 증가가 예상되며, 제2, 제3의 렉라자 출시를 위한 중점 파이프라인 개발도 차질 없이 진행되고 있음. </t>
        </is>
      </c>
      <c r="O16" s="41" t="inlineStr">
        <is>
          <t xml:space="preserve">렉라자 FDA 승인 모멘텀은 크지만 기존 제약 사업의 낮은 ROE 때문 </t>
        </is>
      </c>
      <c r="P16" s="41" t="inlineStr">
        <is>
          <t>반기보고서</t>
        </is>
      </c>
      <c r="Q16" s="41" t="inlineStr">
        <is>
          <t>탈락</t>
        </is>
      </c>
    </row>
    <row r="17" ht="79.2" customHeight="1">
      <c r="A17" s="29" t="n"/>
      <c r="B17" s="30" t="inlineStr">
        <is>
          <t>HLB</t>
        </is>
      </c>
      <c r="C17" s="31" t="inlineStr">
        <is>
          <t>028300</t>
        </is>
      </c>
      <c r="D17" s="32" t="n">
        <v>32450</v>
      </c>
      <c r="E17" s="33" t="n">
        <v>4.322282</v>
      </c>
      <c r="F17" s="34" t="n">
        <v>0.0008115291430235017</v>
      </c>
      <c r="G17" s="35" t="n">
        <v>0.007545784687378087</v>
      </c>
      <c r="H17" s="31" t="inlineStr">
        <is>
          <t>가능</t>
        </is>
      </c>
      <c r="I17" s="36" t="n">
        <v>0.402</v>
      </c>
      <c r="J17" s="36" t="n">
        <v>-0.9701</v>
      </c>
      <c r="K17" s="36" t="n">
        <v>-0.2871</v>
      </c>
      <c r="L17" s="21" t="inlineStr">
        <is>
          <t>산출불가/9.37배</t>
        </is>
      </c>
      <c r="M17" s="21" t="inlineStr">
        <is>
          <t>헬스케어: 체외진단 의료기기, 의약외품, 의료소모품 등, 바이오: 리보세라닙, 리라푸그라티닙 등 항암신약개발, 선박: 특수선, 구명정, DAVIT, PIPE 등, 미디어커머스: 뷰티 디바이스</t>
        </is>
      </c>
      <c r="N17" s="21" t="inlineStr">
        <is>
          <t>기능성 바이오 소재 등의 신기술개발을 목적으로 첨단 바이오 신약개발연구소를 설립 예정, '릴레이 테라퓨틱스'의 담관암 치료제 'RLY-4008(성분명 리라푸그라티닙)'에 대한 글로벌 독점 라이선스-인 계약을 체결</t>
        </is>
      </c>
      <c r="O17" s="21" t="inlineStr">
        <is>
          <t>영업이익 적자</t>
        </is>
      </c>
      <c r="P17" s="21" t="inlineStr">
        <is>
          <t>반기보고서</t>
        </is>
      </c>
      <c r="Q17" s="21" t="inlineStr">
        <is>
          <t>탈락</t>
        </is>
      </c>
    </row>
    <row r="18" ht="105.6" customHeight="1">
      <c r="A18" s="39" t="n"/>
      <c r="B18" s="30" t="inlineStr">
        <is>
          <t>삼천당제약</t>
        </is>
      </c>
      <c r="C18" s="31" t="inlineStr">
        <is>
          <t>000250</t>
        </is>
      </c>
      <c r="D18" s="32" t="n">
        <v>157500</v>
      </c>
      <c r="E18" s="33" t="n">
        <v>3.694552</v>
      </c>
      <c r="F18" s="34" t="n">
        <v>0.0006936698295982919</v>
      </c>
      <c r="G18" s="35" t="n">
        <v>0.0366243786829599</v>
      </c>
      <c r="H18" s="31" t="inlineStr">
        <is>
          <t>가능</t>
        </is>
      </c>
      <c r="I18" s="40" t="n">
        <v>0.096</v>
      </c>
      <c r="J18" s="40" t="n">
        <v>0.0655</v>
      </c>
      <c r="K18" s="40" t="n">
        <v>0.0327</v>
      </c>
      <c r="L18" s="41" t="inlineStr">
        <is>
          <t>269.80배/8.83배</t>
        </is>
      </c>
      <c r="M18" s="41" t="inlineStr">
        <is>
          <t>의약품: 안과용제(하메론, 티어린프리 등)), 순환기 질환 치료제(아토로우, 지텐션 등), 호흡기 질환 치료제(소담, 타리에스 등), 소화기계용제(산화마그네슘, 모푸렌 등), 항생제(크라목스, 파클 등), 소염제(에스부펜, 록소펜 등)</t>
        </is>
      </c>
      <c r="N18" s="41" t="inlineStr">
        <is>
          <t>독소루비신·GLP-1 등 주사제를 경구용(알약)으로 바꾸는 플랫폼 보유, 유럽/북미 글로벌 유통 계약 체결</t>
        </is>
      </c>
      <c r="O18" s="41" t="inlineStr">
        <is>
          <t>영업이익률(6.6%)과 ROE(3.3%) 대비 PER이 270배 수준으로 신약 기대감이 주가에 과도하게 선반영되어 있어 이후 하락할 가능성 크기 때문</t>
        </is>
      </c>
      <c r="P18" s="41" t="inlineStr">
        <is>
          <t>반기보고서</t>
        </is>
      </c>
      <c r="Q18" s="41" t="inlineStr">
        <is>
          <t>탈락</t>
        </is>
      </c>
    </row>
    <row r="19" ht="79.2" customHeight="1">
      <c r="A19" s="29" t="n"/>
      <c r="B19" s="30" t="inlineStr">
        <is>
          <t>펩트론</t>
        </is>
      </c>
      <c r="C19" s="31" t="inlineStr">
        <is>
          <t>087010</t>
        </is>
      </c>
      <c r="D19" s="32" t="n">
        <v>150800</v>
      </c>
      <c r="E19" s="33" t="n">
        <v>3.516256</v>
      </c>
      <c r="F19" s="34" t="n">
        <v>0.0006601939018165048</v>
      </c>
      <c r="G19" s="35" t="n">
        <v>0.03506638924057367</v>
      </c>
      <c r="H19" s="31" t="inlineStr">
        <is>
          <t>가능</t>
        </is>
      </c>
      <c r="I19" s="36" t="n">
        <v>0.302</v>
      </c>
      <c r="J19" s="36" t="n">
        <v>-4.023</v>
      </c>
      <c r="K19" s="36" t="n">
        <v>-0.1068</v>
      </c>
      <c r="L19" s="21" t="inlineStr">
        <is>
          <t>산출불가/3.05배</t>
        </is>
      </c>
      <c r="M19" s="21" t="inlineStr">
        <is>
          <t>펩타이드 공학 및 약효지속화 원천기술을 기반 약효지속성 스마트 의약품의 설계, 제조 및 펩타이드 신약 개발</t>
        </is>
      </c>
      <c r="N19" s="21" t="inlineStr">
        <is>
          <t>독자적 SmartDepot(스마트데포) 기술을 통해 약물의 체내 체류 시간을 최적화하는 플랫폼 기술을 보유, 이를 구현할 수 있는 GMP 대량생산 시설을 구축하여 임상용 의약품 및 상업화 제품 생산 능력 확보</t>
        </is>
      </c>
      <c r="O19" s="21" t="inlineStr">
        <is>
          <t>영업이익 적자</t>
        </is>
      </c>
      <c r="P19" s="21" t="inlineStr">
        <is>
          <t>반기보고서</t>
        </is>
      </c>
      <c r="Q19" s="21" t="inlineStr">
        <is>
          <t>탈락</t>
        </is>
      </c>
    </row>
    <row r="20" ht="132" customHeight="1">
      <c r="A20" s="39" t="n"/>
      <c r="B20" s="30" t="inlineStr">
        <is>
          <t>파마리서치</t>
        </is>
      </c>
      <c r="C20" s="31" t="inlineStr">
        <is>
          <t>214450</t>
        </is>
      </c>
      <c r="D20" s="32" t="n">
        <v>337000</v>
      </c>
      <c r="E20" s="33" t="n">
        <v>3.501311</v>
      </c>
      <c r="F20" s="34" t="n">
        <v>0.0006573879065014175</v>
      </c>
      <c r="G20" s="35" t="n">
        <v>0.07836454359465071</v>
      </c>
      <c r="H20" s="31" t="inlineStr">
        <is>
          <t>가능</t>
        </is>
      </c>
      <c r="I20" s="40" t="n">
        <v>0.435</v>
      </c>
      <c r="J20" s="40" t="n">
        <v>0.381</v>
      </c>
      <c r="K20" s="40" t="n">
        <v>0.1331</v>
      </c>
      <c r="L20" s="41" t="inlineStr">
        <is>
          <t>33.59배/4.47배</t>
        </is>
      </c>
      <c r="M20" s="41" t="inlineStr">
        <is>
          <t>PDRN/PN 기반 의료기기, 화장품, 의약품, 기타                       PDRN: 특정 규격의 뉴클레오티드 분절체, 조직재생효능 가짐 또한 인체 세포에 상시 존재하며 생리적으로 섬유아세포의 재생 및 대사 활성을 자극하여 최상의 컨디션을 유지할 수 있도록 돕는 작용</t>
        </is>
      </c>
      <c r="N20" s="41" t="inlineStr">
        <is>
          <t>기존의 의약품 수입 및 유통 사업에 그치지 않고 국책기관과 함께 조직재생에 효능을가지고 있는 PDRN/PN 관련 제조 기술을 확보, 리쥬란, 관절강 주사인 콘쥬란 및 기타 제품의 국내 상용화에 성공, 우수한 기술경쟁력을 기반으로 한 의료기기, 화장품, 의약품 제조업체로서 R&amp;D를 통한 제품개발 및 시장 확대에 힘쓰며 해외 사업 또한 진행 중</t>
        </is>
      </c>
      <c r="O20" s="41" t="inlineStr">
        <is>
          <t>리쥬란 등 에스테틱 제품의 안정적인 현금창출력과 해외에서의 큰 매출</t>
        </is>
      </c>
      <c r="P20" s="41" t="inlineStr">
        <is>
          <t>반기보고서</t>
        </is>
      </c>
      <c r="Q20" s="41" t="inlineStr">
        <is>
          <t>보류</t>
        </is>
      </c>
    </row>
    <row r="21" ht="92.40000000000001" customHeight="1">
      <c r="A21" s="29" t="n"/>
      <c r="B21" s="30" t="inlineStr">
        <is>
          <t>에이비엘바이오</t>
        </is>
      </c>
      <c r="C21" s="31" t="inlineStr">
        <is>
          <t>298380</t>
        </is>
      </c>
      <c r="D21" s="32" t="n">
        <v>59300</v>
      </c>
      <c r="E21" s="33" t="n">
        <v>3.320057</v>
      </c>
      <c r="F21" s="34" t="n">
        <v>0.0006233566000550584</v>
      </c>
      <c r="G21" s="35" t="n">
        <v>0.01378936924380649</v>
      </c>
      <c r="H21" s="31" t="inlineStr">
        <is>
          <t>가능</t>
        </is>
      </c>
      <c r="I21" s="36" t="n">
        <v>0.098</v>
      </c>
      <c r="J21" s="36" t="n">
        <v>-1.0364</v>
      </c>
      <c r="K21" s="36" t="n">
        <v>-0.1705</v>
      </c>
      <c r="L21" s="21" t="inlineStr">
        <is>
          <t>산출불가/18.92배</t>
        </is>
      </c>
      <c r="M21" s="21" t="inlineStr">
        <is>
          <t>기술이전수익(국내외 제약사와의 기술이전 또는 공동개발에 대한 계약 체결-&gt; 바이오 의약품 개발 단계에 따라 선수수수료, 단계별 마일스톤 및 제품 출시이후 판매액의 일정 부분에 해당하는 로열티 받게 됨)</t>
        </is>
      </c>
      <c r="N21" s="21" t="inlineStr">
        <is>
          <t xml:space="preserve">파이프라인 및 시장의 성격, 당사의 우수한 기술력 등에 근거하여 빠른 기술이전이 가능할 것으로 예상하고 있음.조기 기술이전은 전략적인 파이프라인 또는 새로운 기술 개발을 위한 자원의 집중을 가능하게 하면서 경쟁력 있는 파이프라인을 유지 가능 </t>
        </is>
      </c>
      <c r="O21" s="21" t="inlineStr">
        <is>
          <t>영업 이익 적자</t>
        </is>
      </c>
      <c r="P21" s="21" t="inlineStr">
        <is>
          <t>반기보고서</t>
        </is>
      </c>
      <c r="Q21" s="21" t="inlineStr">
        <is>
          <t>탈락</t>
        </is>
      </c>
    </row>
    <row r="22" ht="171.6" customHeight="1">
      <c r="A22" s="39" t="n"/>
      <c r="B22" s="30" t="inlineStr">
        <is>
          <t>리가켐바이오</t>
        </is>
      </c>
      <c r="C22" s="31" t="inlineStr">
        <is>
          <t>141080</t>
        </is>
      </c>
      <c r="D22" s="32" t="n">
        <v>83700</v>
      </c>
      <c r="E22" s="33" t="n">
        <v>3.098525</v>
      </c>
      <c r="F22" s="34" t="n">
        <v>0.000581762906234923</v>
      </c>
      <c r="G22" s="35" t="n">
        <v>0.0194632412429444</v>
      </c>
      <c r="H22" s="31" t="inlineStr">
        <is>
          <t>가능</t>
        </is>
      </c>
      <c r="I22" s="40" t="n">
        <v>1.035</v>
      </c>
      <c r="J22" s="40" t="n">
        <v>-2.641</v>
      </c>
      <c r="K22" s="40" t="n">
        <v>-0.23</v>
      </c>
      <c r="L22" s="41" t="inlineStr">
        <is>
          <t>산출불가/6.92배</t>
        </is>
      </c>
      <c r="M22" s="41" t="inlineStr">
        <is>
          <t>의약화학 기반 글로벌 신약 R&amp;D 주력 연구중심형 제약회사         ADC(항체-약물 결합체) 분야: 전통적 화학항암제와 다르게 종양세포만을 표적해 부작용을 감소시키고, 항체 치료제와는 차별적으로 약물을 접합시켜 치료 효과를 증진시킴, 합성신약 분야: 심각한 내성문제로 마땅한 치료제가 없는 그람음성균과 그람양성균 치료제를 개발중, 의약사업부문: 의료기기 및 의료소모품을 수도권 소재의 2개 병원에 납품</t>
        </is>
      </c>
      <c r="N22" s="41" t="inlineStr">
        <is>
          <t>암세포 표적 결합 기술 기반의 글로벌 링커·독성물질(Payload) 기술, 얀센 등 글로벌 빅파마 대상 대규모 기술이전</t>
        </is>
      </c>
      <c r="O22" s="41" t="inlineStr">
        <is>
          <t>영업 이익 적자</t>
        </is>
      </c>
      <c r="P22" s="41" t="inlineStr">
        <is>
          <t>반기보고서</t>
        </is>
      </c>
      <c r="Q22" s="41" t="inlineStr">
        <is>
          <t>탈락</t>
        </is>
      </c>
    </row>
    <row r="23" ht="92.40000000000001" customHeight="1">
      <c r="A23" s="29" t="n"/>
      <c r="B23" s="30" t="inlineStr">
        <is>
          <t>휴젤</t>
        </is>
      </c>
      <c r="C23" s="31" t="inlineStr">
        <is>
          <t>145020</t>
        </is>
      </c>
      <c r="D23" s="32" t="n">
        <v>235500</v>
      </c>
      <c r="E23" s="33" t="n">
        <v>2.947323</v>
      </c>
      <c r="F23" s="34" t="n">
        <v>0.000553374006694486</v>
      </c>
      <c r="G23" s="35" t="n">
        <v>0.05476216622118766</v>
      </c>
      <c r="H23" s="31" t="inlineStr">
        <is>
          <t>가능</t>
        </is>
      </c>
      <c r="I23" s="36" t="n">
        <v>0.154</v>
      </c>
      <c r="J23" s="36" t="n">
        <v>0.4072</v>
      </c>
      <c r="K23" s="36" t="n">
        <v>0.0785</v>
      </c>
      <c r="L23" s="21" t="inlineStr">
        <is>
          <t>29.75배/2.33배</t>
        </is>
      </c>
      <c r="M23" s="21" t="inlineStr">
        <is>
          <t>글로벌 메디컬 에스테틱         전문기업                         Toxin: 보툴렉스, Filler &amp; Skinbooster: 더채움, 바이리즌, Cosmetics: 웰라쥬, Thread:	Blue Rose Forte 등, 기타: 용역 매출 등</t>
        </is>
      </c>
      <c r="N23" s="21" t="inlineStr">
        <is>
          <t>국내 톡신 시장 점유율 1위, 미국 FDA 승인 획득 및 중국·유럽 등 글로벌 3대 빅마켓 진출 완료</t>
        </is>
      </c>
      <c r="O23" s="21" t="inlineStr">
        <is>
          <t>보툴리눔 톡신 해외 진출 확대와  뛰어난 수익성</t>
        </is>
      </c>
      <c r="P23" s="21" t="inlineStr">
        <is>
          <t>반기보고서</t>
        </is>
      </c>
      <c r="Q23" s="21" t="inlineStr">
        <is>
          <t>보류</t>
        </is>
      </c>
    </row>
    <row r="24">
      <c r="A24" s="39" t="n"/>
      <c r="B24" s="30" t="inlineStr">
        <is>
          <t>SK바이오사이언스</t>
        </is>
      </c>
      <c r="C24" s="31" t="inlineStr">
        <is>
          <t>302440</t>
        </is>
      </c>
      <c r="D24" s="32" t="n">
        <v>36750</v>
      </c>
      <c r="E24" s="33" t="n">
        <v>2.883278</v>
      </c>
      <c r="F24" s="34" t="n">
        <v>0.0005413492512609117</v>
      </c>
      <c r="G24" s="35" t="n">
        <v>0.00854568835935731</v>
      </c>
      <c r="H24" s="31" t="inlineStr">
        <is>
          <t>가능</t>
        </is>
      </c>
      <c r="I24" s="41" t="n"/>
      <c r="J24" s="41" t="n"/>
      <c r="K24" s="41" t="n"/>
      <c r="L24" s="41" t="n"/>
      <c r="M24" s="41" t="n"/>
      <c r="N24" s="41" t="n"/>
      <c r="O24" s="41" t="n"/>
      <c r="P24" s="41" t="n"/>
      <c r="Q24" s="41" t="n"/>
    </row>
    <row r="25">
      <c r="A25" s="29" t="n"/>
      <c r="B25" s="30" t="inlineStr">
        <is>
          <t>보로노이</t>
        </is>
      </c>
      <c r="C25" s="31" t="inlineStr">
        <is>
          <t>310210</t>
        </is>
      </c>
      <c r="D25" s="32" t="n">
        <v>141500</v>
      </c>
      <c r="E25" s="33" t="n">
        <v>2.621082</v>
      </c>
      <c r="F25" s="34" t="n">
        <v>0.0004921206967186144</v>
      </c>
      <c r="G25" s="35" t="n">
        <v>0.03290380688024652</v>
      </c>
      <c r="H25" s="31" t="inlineStr">
        <is>
          <t>가능</t>
        </is>
      </c>
      <c r="I25" s="21" t="n"/>
      <c r="J25" s="21" t="n"/>
      <c r="K25" s="21" t="n"/>
      <c r="L25" s="21" t="n"/>
      <c r="M25" s="21" t="n"/>
      <c r="N25" s="21" t="n"/>
      <c r="O25" s="21" t="n"/>
      <c r="P25" s="21" t="n"/>
      <c r="Q25" s="21" t="n"/>
    </row>
    <row r="26">
      <c r="A26" s="39" t="n"/>
      <c r="B26" s="30" t="inlineStr">
        <is>
          <t>한올바이오파마</t>
        </is>
      </c>
      <c r="C26" s="31" t="inlineStr">
        <is>
          <t>009420</t>
        </is>
      </c>
      <c r="D26" s="32" t="n">
        <v>48600</v>
      </c>
      <c r="E26" s="33" t="n">
        <v>2.538895</v>
      </c>
      <c r="F26" s="34" t="n">
        <v>0.0004766896939109141</v>
      </c>
      <c r="G26" s="35" t="n">
        <v>0.01130123685074191</v>
      </c>
      <c r="H26" s="31" t="inlineStr">
        <is>
          <t>가능</t>
        </is>
      </c>
      <c r="I26" s="41" t="n"/>
      <c r="J26" s="41" t="n"/>
      <c r="K26" s="41" t="n"/>
      <c r="L26" s="41" t="n"/>
      <c r="M26" s="41" t="n"/>
      <c r="N26" s="41" t="n"/>
      <c r="O26" s="41" t="n"/>
      <c r="P26" s="41" t="n"/>
      <c r="Q26" s="41" t="n"/>
    </row>
    <row r="27">
      <c r="A27" s="29" t="n"/>
      <c r="B27" s="30" t="inlineStr">
        <is>
          <t>올릭스</t>
        </is>
      </c>
      <c r="C27" s="31" t="inlineStr">
        <is>
          <t>226950</t>
        </is>
      </c>
      <c r="D27" s="32" t="n">
        <v>108300</v>
      </c>
      <c r="E27" s="33" t="n">
        <v>2.463883</v>
      </c>
      <c r="F27" s="34" t="n">
        <v>0.0004626058317111597</v>
      </c>
      <c r="G27" s="35" t="n">
        <v>0.02518362038961624</v>
      </c>
      <c r="H27" s="31" t="inlineStr">
        <is>
          <t>가능</t>
        </is>
      </c>
      <c r="I27" s="21" t="n"/>
      <c r="J27" s="21" t="n"/>
      <c r="K27" s="21" t="n"/>
      <c r="L27" s="21" t="n"/>
      <c r="M27" s="21" t="n"/>
      <c r="N27" s="21" t="n"/>
      <c r="O27" s="21" t="n"/>
      <c r="P27" s="21" t="n"/>
      <c r="Q27" s="21" t="n"/>
    </row>
    <row r="28">
      <c r="A28" s="39" t="n"/>
      <c r="B28" s="30" t="inlineStr">
        <is>
          <t>케어젠</t>
        </is>
      </c>
      <c r="C28" s="31" t="inlineStr">
        <is>
          <t>214370</t>
        </is>
      </c>
      <c r="D28" s="32" t="n">
        <v>41350</v>
      </c>
      <c r="E28" s="33" t="n">
        <v>2.221115</v>
      </c>
      <c r="F28" s="34" t="n">
        <v>0.0004170249772010816</v>
      </c>
      <c r="G28" s="35" t="n">
        <v>0.009615352752637408</v>
      </c>
      <c r="H28" s="31" t="inlineStr">
        <is>
          <t>가능</t>
        </is>
      </c>
      <c r="I28" s="41" t="n"/>
      <c r="J28" s="41" t="n"/>
      <c r="K28" s="41" t="n"/>
      <c r="L28" s="41" t="n"/>
      <c r="M28" s="41" t="n"/>
      <c r="N28" s="41" t="n"/>
      <c r="O28" s="41" t="n"/>
      <c r="P28" s="41" t="n"/>
      <c r="Q28" s="41" t="n"/>
    </row>
    <row r="29">
      <c r="A29" s="29" t="n"/>
      <c r="B29" s="30" t="inlineStr">
        <is>
          <t>디앤디파마텍</t>
        </is>
      </c>
      <c r="C29" s="31" t="inlineStr">
        <is>
          <t>347850</t>
        </is>
      </c>
      <c r="D29" s="32" t="n">
        <v>46650</v>
      </c>
      <c r="E29" s="33" t="n">
        <v>2.138324</v>
      </c>
      <c r="F29" s="34" t="n">
        <v>0.0004014805705010886</v>
      </c>
      <c r="G29" s="35" t="n">
        <v>0.01084779216228622</v>
      </c>
      <c r="H29" s="31" t="inlineStr">
        <is>
          <t>가능</t>
        </is>
      </c>
      <c r="I29" s="21" t="n"/>
      <c r="J29" s="21" t="n"/>
      <c r="K29" s="21" t="n"/>
      <c r="L29" s="21" t="n"/>
      <c r="M29" s="21" t="n"/>
      <c r="N29" s="21" t="n"/>
      <c r="O29" s="21" t="n"/>
      <c r="P29" s="21" t="n"/>
      <c r="Q29" s="21" t="n"/>
    </row>
    <row r="30">
      <c r="A30" s="39" t="n"/>
      <c r="B30" s="30" t="inlineStr">
        <is>
          <t>클래시스</t>
        </is>
      </c>
      <c r="C30" s="31" t="inlineStr">
        <is>
          <t>214150</t>
        </is>
      </c>
      <c r="D30" s="32" t="n">
        <v>31600</v>
      </c>
      <c r="E30" s="33" t="n">
        <v>2.061447</v>
      </c>
      <c r="F30" s="34" t="n">
        <v>0.0003870465456206626</v>
      </c>
      <c r="G30" s="35" t="n">
        <v>0.007348129310358938</v>
      </c>
      <c r="H30" s="31" t="inlineStr">
        <is>
          <t>가능</t>
        </is>
      </c>
      <c r="I30" s="41" t="n"/>
      <c r="J30" s="41" t="n"/>
      <c r="K30" s="41" t="n"/>
      <c r="L30" s="41" t="n"/>
      <c r="M30" s="41" t="n"/>
      <c r="N30" s="41" t="n"/>
      <c r="O30" s="41" t="n"/>
      <c r="P30" s="41" t="n"/>
      <c r="Q30" s="41" t="n"/>
    </row>
    <row r="31">
      <c r="A31" s="29" t="n"/>
      <c r="B31" s="30" t="inlineStr">
        <is>
          <t>에스티팜</t>
        </is>
      </c>
      <c r="C31" s="31" t="inlineStr">
        <is>
          <t>237690</t>
        </is>
      </c>
      <c r="D31" s="32" t="n">
        <v>89500</v>
      </c>
      <c r="E31" s="33" t="n">
        <v>1.868459</v>
      </c>
      <c r="F31" s="34" t="n">
        <v>0.0003508121244852948</v>
      </c>
      <c r="G31" s="35" t="n">
        <v>0.02081194852142801</v>
      </c>
      <c r="H31" s="31" t="inlineStr">
        <is>
          <t>가능</t>
        </is>
      </c>
      <c r="I31" s="21" t="n"/>
      <c r="J31" s="21" t="n"/>
      <c r="K31" s="21" t="n"/>
      <c r="L31" s="21" t="n"/>
      <c r="M31" s="21" t="n"/>
      <c r="N31" s="21" t="n"/>
      <c r="O31" s="21" t="n"/>
      <c r="P31" s="21" t="n"/>
      <c r="Q31" s="21" t="n"/>
    </row>
    <row r="32">
      <c r="A32" s="39" t="n"/>
      <c r="B32" s="30" t="inlineStr">
        <is>
          <t>셀트리온제약</t>
        </is>
      </c>
      <c r="C32" s="31" t="inlineStr">
        <is>
          <t>068760</t>
        </is>
      </c>
      <c r="D32" s="32" t="n">
        <v>39250</v>
      </c>
      <c r="E32" s="33" t="n">
        <v>1.742792</v>
      </c>
      <c r="F32" s="34" t="n">
        <v>0.0003272175434708366</v>
      </c>
      <c r="G32" s="35" t="n">
        <v>0.009127027703531276</v>
      </c>
      <c r="H32" s="31" t="inlineStr">
        <is>
          <t>가능</t>
        </is>
      </c>
      <c r="I32" s="41" t="n"/>
      <c r="J32" s="41" t="n"/>
      <c r="K32" s="41" t="n"/>
      <c r="L32" s="41" t="n"/>
      <c r="M32" s="41" t="n"/>
      <c r="N32" s="41" t="n"/>
      <c r="O32" s="41" t="n"/>
      <c r="P32" s="41" t="n"/>
      <c r="Q32" s="41" t="n"/>
    </row>
    <row r="33">
      <c r="A33" s="29" t="n"/>
      <c r="B33" s="30" t="inlineStr">
        <is>
          <t>네이처셀</t>
        </is>
      </c>
      <c r="C33" s="31" t="inlineStr">
        <is>
          <t>007390</t>
        </is>
      </c>
      <c r="D33" s="32" t="n">
        <v>24850</v>
      </c>
      <c r="E33" s="33" t="n">
        <v>1.601211</v>
      </c>
      <c r="F33" s="34" t="n">
        <v>0.0003006350327511727</v>
      </c>
      <c r="G33" s="35" t="n">
        <v>0.005778513081089229</v>
      </c>
      <c r="H33" s="31" t="inlineStr">
        <is>
          <t>가능</t>
        </is>
      </c>
      <c r="I33" s="21" t="n"/>
      <c r="J33" s="21" t="n"/>
      <c r="K33" s="21" t="n"/>
      <c r="L33" s="21" t="n"/>
      <c r="M33" s="21" t="n"/>
      <c r="N33" s="21" t="n"/>
      <c r="O33" s="21" t="n"/>
      <c r="P33" s="21" t="n"/>
      <c r="Q33" s="21" t="n"/>
    </row>
    <row r="34">
      <c r="A34" s="39" t="n"/>
      <c r="B34" s="30" t="inlineStr">
        <is>
          <t>씨젠</t>
        </is>
      </c>
      <c r="C34" s="31" t="inlineStr">
        <is>
          <t>096530</t>
        </is>
      </c>
      <c r="D34" s="32" t="n">
        <v>32250</v>
      </c>
      <c r="E34" s="33" t="n">
        <v>1.507184</v>
      </c>
      <c r="F34" s="34" t="n">
        <v>0.0002829810132468759</v>
      </c>
      <c r="G34" s="35" t="n">
        <v>0.00749927753984417</v>
      </c>
      <c r="H34" s="31" t="inlineStr">
        <is>
          <t>가능</t>
        </is>
      </c>
      <c r="I34" s="41" t="n"/>
      <c r="J34" s="41" t="n"/>
      <c r="K34" s="41" t="n"/>
      <c r="L34" s="41" t="n"/>
      <c r="M34" s="41" t="n"/>
      <c r="N34" s="41" t="n"/>
      <c r="O34" s="41" t="n"/>
      <c r="P34" s="41" t="n"/>
      <c r="Q34" s="41" t="n"/>
    </row>
    <row r="35">
      <c r="A35" s="29" t="n"/>
      <c r="B35" s="30" t="inlineStr">
        <is>
          <t>녹십자</t>
        </is>
      </c>
      <c r="C35" s="31" t="inlineStr">
        <is>
          <t>006280</t>
        </is>
      </c>
      <c r="D35" s="32" t="n">
        <v>124900</v>
      </c>
      <c r="E35" s="33" t="n">
        <v>1.459649</v>
      </c>
      <c r="F35" s="34" t="n">
        <v>0.0002740560893724915</v>
      </c>
      <c r="G35" s="35" t="n">
        <v>0.02904371363493137</v>
      </c>
      <c r="H35" s="31" t="inlineStr">
        <is>
          <t>가능</t>
        </is>
      </c>
      <c r="I35" s="21" t="n"/>
      <c r="J35" s="21" t="n"/>
      <c r="K35" s="21" t="n"/>
      <c r="L35" s="21" t="n"/>
      <c r="M35" s="21" t="n"/>
      <c r="N35" s="21" t="n"/>
      <c r="O35" s="21" t="n"/>
      <c r="P35" s="21" t="n"/>
      <c r="Q35" s="21" t="n"/>
    </row>
    <row r="36">
      <c r="A36" s="39" t="n"/>
      <c r="B36" s="30" t="inlineStr">
        <is>
          <t>오스코텍</t>
        </is>
      </c>
      <c r="C36" s="31" t="inlineStr">
        <is>
          <t>039200</t>
        </is>
      </c>
      <c r="D36" s="32" t="n">
        <v>34600</v>
      </c>
      <c r="E36" s="33" t="n">
        <v>1.323733</v>
      </c>
      <c r="F36" s="34" t="n">
        <v>0.000248537209530042</v>
      </c>
      <c r="G36" s="35" t="n">
        <v>0.008045736523367699</v>
      </c>
      <c r="H36" s="31" t="inlineStr">
        <is>
          <t>가능</t>
        </is>
      </c>
      <c r="I36" s="41" t="n"/>
      <c r="J36" s="41" t="n"/>
      <c r="K36" s="41" t="n"/>
      <c r="L36" s="41" t="n"/>
      <c r="M36" s="41" t="n"/>
      <c r="N36" s="41" t="n"/>
      <c r="O36" s="41" t="n"/>
      <c r="P36" s="41" t="n"/>
      <c r="Q36" s="41" t="n"/>
    </row>
    <row r="37">
      <c r="A37" s="29" t="n"/>
      <c r="B37" s="30" t="inlineStr">
        <is>
          <t>대웅제약</t>
        </is>
      </c>
      <c r="C37" s="31" t="inlineStr">
        <is>
          <t>069620</t>
        </is>
      </c>
      <c r="D37" s="32" t="n">
        <v>109800</v>
      </c>
      <c r="E37" s="33" t="n">
        <v>1.272206</v>
      </c>
      <c r="F37" s="34" t="n">
        <v>0.0002388627685397105</v>
      </c>
      <c r="G37" s="35" t="n">
        <v>0.02553242399612062</v>
      </c>
      <c r="H37" s="31" t="inlineStr">
        <is>
          <t>가능</t>
        </is>
      </c>
      <c r="I37" s="21" t="n"/>
      <c r="J37" s="21" t="n"/>
      <c r="K37" s="21" t="n"/>
      <c r="L37" s="21" t="n"/>
      <c r="M37" s="21" t="n"/>
      <c r="N37" s="21" t="n"/>
      <c r="O37" s="21" t="n"/>
      <c r="P37" s="21" t="n"/>
      <c r="Q37" s="21" t="n"/>
    </row>
    <row r="38">
      <c r="A38" s="39" t="n"/>
      <c r="B38" s="30" t="inlineStr">
        <is>
          <t>엘앤씨바이오</t>
        </is>
      </c>
      <c r="C38" s="31" t="inlineStr">
        <is>
          <t>290650</t>
        </is>
      </c>
      <c r="D38" s="32" t="n">
        <v>47150</v>
      </c>
      <c r="E38" s="33" t="n">
        <v>1.271622</v>
      </c>
      <c r="F38" s="34" t="n">
        <v>0.0002387531197431892</v>
      </c>
      <c r="G38" s="35" t="n">
        <v>0.01096406003112101</v>
      </c>
      <c r="H38" s="31" t="inlineStr">
        <is>
          <t>가능</t>
        </is>
      </c>
      <c r="I38" s="41" t="n"/>
      <c r="J38" s="41" t="n"/>
      <c r="K38" s="41" t="n"/>
      <c r="L38" s="41" t="n"/>
      <c r="M38" s="41" t="n"/>
      <c r="N38" s="41" t="n"/>
      <c r="O38" s="41" t="n"/>
      <c r="P38" s="41" t="n"/>
      <c r="Q38" s="41" t="n"/>
    </row>
    <row r="39">
      <c r="A39" s="29" t="n"/>
      <c r="B39" s="30" t="inlineStr">
        <is>
          <t>HK이노엔</t>
        </is>
      </c>
      <c r="C39" s="31" t="inlineStr">
        <is>
          <t>195940</t>
        </is>
      </c>
      <c r="D39" s="32" t="n">
        <v>39450</v>
      </c>
      <c r="E39" s="33" t="n">
        <v>1.117614</v>
      </c>
      <c r="F39" s="34" t="n">
        <v>0.0002098373802660419</v>
      </c>
      <c r="G39" s="35" t="n">
        <v>0.009173534851065195</v>
      </c>
      <c r="H39" s="31" t="inlineStr">
        <is>
          <t>가능</t>
        </is>
      </c>
      <c r="I39" s="21" t="n"/>
      <c r="J39" s="21" t="n"/>
      <c r="K39" s="21" t="n"/>
      <c r="L39" s="21" t="n"/>
      <c r="M39" s="21" t="n"/>
      <c r="N39" s="21" t="n"/>
      <c r="O39" s="21" t="n"/>
      <c r="P39" s="21" t="n"/>
      <c r="Q39" s="21" t="n"/>
    </row>
    <row r="40">
      <c r="A40" s="39" t="n"/>
      <c r="B40" s="30" t="inlineStr">
        <is>
          <t>오름테라퓨틱</t>
        </is>
      </c>
      <c r="C40" s="31" t="inlineStr">
        <is>
          <t>475830</t>
        </is>
      </c>
      <c r="D40" s="32" t="n">
        <v>50500</v>
      </c>
      <c r="E40" s="33" t="n">
        <v>1.096839</v>
      </c>
      <c r="F40" s="34" t="n">
        <v>0.0002059367745336271</v>
      </c>
      <c r="G40" s="35" t="n">
        <v>0.01174305475231413</v>
      </c>
      <c r="H40" s="31" t="inlineStr">
        <is>
          <t>가능</t>
        </is>
      </c>
      <c r="I40" s="41" t="n"/>
      <c r="J40" s="41" t="n"/>
      <c r="K40" s="41" t="n"/>
      <c r="L40" s="41" t="n"/>
      <c r="M40" s="41" t="n"/>
      <c r="N40" s="41" t="n"/>
      <c r="O40" s="41" t="n"/>
      <c r="P40" s="41" t="n"/>
      <c r="Q40" s="41" t="n"/>
    </row>
    <row r="41">
      <c r="A41" s="29" t="n"/>
      <c r="B41" s="30" t="inlineStr">
        <is>
          <t>씨어스</t>
        </is>
      </c>
      <c r="C41" s="31" t="inlineStr">
        <is>
          <t>458870</t>
        </is>
      </c>
      <c r="D41" s="32" t="n">
        <v>23500</v>
      </c>
      <c r="E41" s="33" t="n">
        <v>0.901116</v>
      </c>
      <c r="F41" s="34" t="n">
        <v>0.0001691888440515371</v>
      </c>
      <c r="G41" s="35" t="n">
        <v>0.005464589835235287</v>
      </c>
      <c r="H41" s="31" t="inlineStr">
        <is>
          <t>가능</t>
        </is>
      </c>
      <c r="I41" s="21" t="n"/>
      <c r="J41" s="21" t="n"/>
      <c r="K41" s="21" t="n"/>
      <c r="L41" s="21" t="n"/>
      <c r="M41" s="21" t="n"/>
      <c r="N41" s="21" t="n"/>
      <c r="O41" s="21" t="n"/>
      <c r="P41" s="21" t="n"/>
      <c r="Q41" s="21" t="n"/>
    </row>
    <row r="42">
      <c r="A42" s="39" t="n"/>
      <c r="B42" s="30" t="inlineStr">
        <is>
          <t>큐리옥스바이오시스템즈</t>
        </is>
      </c>
      <c r="C42" s="31" t="inlineStr">
        <is>
          <t>445680</t>
        </is>
      </c>
      <c r="D42" s="32" t="n">
        <v>49100</v>
      </c>
      <c r="E42" s="33" t="n">
        <v>0.8450839999999999</v>
      </c>
      <c r="F42" s="34" t="n">
        <v>0.0001586685677387253</v>
      </c>
      <c r="G42" s="35" t="n">
        <v>0.01141750471957671</v>
      </c>
      <c r="H42" s="31" t="inlineStr">
        <is>
          <t>가능</t>
        </is>
      </c>
      <c r="I42" s="41" t="n"/>
      <c r="J42" s="41" t="n"/>
      <c r="K42" s="41" t="n"/>
      <c r="L42" s="41" t="n"/>
      <c r="M42" s="41" t="n"/>
      <c r="N42" s="41" t="n"/>
      <c r="O42" s="41" t="n"/>
      <c r="P42" s="41" t="n"/>
      <c r="Q42" s="41" t="n"/>
    </row>
    <row r="43">
      <c r="A43" s="29" t="n"/>
      <c r="B43" s="30" t="inlineStr">
        <is>
          <t>큐리언트</t>
        </is>
      </c>
      <c r="C43" s="31" t="inlineStr">
        <is>
          <t>115180</t>
        </is>
      </c>
      <c r="D43" s="32" t="n">
        <v>21850</v>
      </c>
      <c r="E43" s="33" t="n">
        <v>0.820121</v>
      </c>
      <c r="F43" s="34" t="n">
        <v>0.0001539816449518049</v>
      </c>
      <c r="G43" s="35" t="n">
        <v>0.005080905868080469</v>
      </c>
      <c r="H43" s="31" t="inlineStr">
        <is>
          <t>가능</t>
        </is>
      </c>
      <c r="I43" s="21" t="n"/>
      <c r="J43" s="21" t="n"/>
      <c r="K43" s="21" t="n"/>
      <c r="L43" s="21" t="n"/>
      <c r="M43" s="21" t="n"/>
      <c r="N43" s="21" t="n"/>
      <c r="O43" s="21" t="n"/>
      <c r="P43" s="21" t="n"/>
      <c r="Q43" s="21" t="n"/>
    </row>
    <row r="44">
      <c r="A44" s="39" t="n"/>
      <c r="B44" s="30" t="inlineStr">
        <is>
          <t>차바이오텍</t>
        </is>
      </c>
      <c r="C44" s="31" t="inlineStr">
        <is>
          <t>085660</t>
        </is>
      </c>
      <c r="D44" s="32" t="n">
        <v>7950</v>
      </c>
      <c r="E44" s="33" t="n">
        <v>0.739134</v>
      </c>
      <c r="F44" s="34" t="n">
        <v>0.0001387759478903813</v>
      </c>
      <c r="G44" s="35" t="n">
        <v>0.001848659114473214</v>
      </c>
      <c r="H44" s="31" t="inlineStr">
        <is>
          <t>가능</t>
        </is>
      </c>
      <c r="I44" s="41" t="n"/>
      <c r="J44" s="41" t="n"/>
      <c r="K44" s="41" t="n"/>
      <c r="L44" s="41" t="n"/>
      <c r="M44" s="41" t="n"/>
      <c r="N44" s="41" t="n"/>
      <c r="O44" s="41" t="n"/>
      <c r="P44" s="41" t="n"/>
      <c r="Q44" s="41" t="n"/>
    </row>
    <row r="45">
      <c r="A45" s="29" t="n"/>
      <c r="B45" s="30" t="inlineStr">
        <is>
          <t>루닛</t>
        </is>
      </c>
      <c r="C45" s="31" t="inlineStr">
        <is>
          <t>328130</t>
        </is>
      </c>
      <c r="D45" s="32" t="n">
        <v>8530</v>
      </c>
      <c r="E45" s="33" t="n">
        <v>0.635128</v>
      </c>
      <c r="F45" s="34" t="n">
        <v>0.0001192483233510055</v>
      </c>
      <c r="G45" s="35" t="n">
        <v>0.001983529842321574</v>
      </c>
      <c r="H45" s="31" t="inlineStr">
        <is>
          <t>가능</t>
        </is>
      </c>
      <c r="I45" s="21" t="n"/>
      <c r="J45" s="21" t="n"/>
      <c r="K45" s="21" t="n"/>
      <c r="L45" s="21" t="n"/>
      <c r="M45" s="21" t="n"/>
      <c r="N45" s="21" t="n"/>
      <c r="O45" s="21" t="n"/>
      <c r="P45" s="21" t="n"/>
      <c r="Q45" s="21" t="n"/>
    </row>
    <row r="46">
      <c r="A46" s="39" t="n"/>
      <c r="B46" s="30" t="inlineStr">
        <is>
          <t>지아이이노베이션</t>
        </is>
      </c>
      <c r="C46" s="31" t="inlineStr">
        <is>
          <t>358570</t>
        </is>
      </c>
      <c r="D46" s="32" t="n">
        <v>9150</v>
      </c>
      <c r="E46" s="33" t="n">
        <v>0.590321</v>
      </c>
      <c r="F46" s="34" t="n">
        <v>0.0001108355945398233</v>
      </c>
      <c r="G46" s="35" t="n">
        <v>0.002127701999676718</v>
      </c>
      <c r="H46" s="31" t="inlineStr">
        <is>
          <t>가능</t>
        </is>
      </c>
      <c r="I46" s="41" t="n"/>
      <c r="J46" s="41" t="n"/>
      <c r="K46" s="41" t="n"/>
      <c r="L46" s="41" t="n"/>
      <c r="M46" s="41" t="n"/>
      <c r="N46" s="41" t="n"/>
      <c r="O46" s="41" t="n"/>
      <c r="P46" s="41" t="n"/>
      <c r="Q46" s="41" t="n"/>
    </row>
    <row r="47">
      <c r="A47" s="29" t="n"/>
      <c r="B47" s="30" t="inlineStr">
        <is>
          <t>지투지바이오</t>
        </is>
      </c>
      <c r="C47" s="31" t="inlineStr">
        <is>
          <t>456160</t>
        </is>
      </c>
      <c r="D47" s="32" t="n">
        <v>34500</v>
      </c>
      <c r="E47" s="33" t="n">
        <v>0.573715</v>
      </c>
      <c r="F47" s="34" t="n">
        <v>0.0001077177385209314</v>
      </c>
      <c r="G47" s="35" t="n">
        <v>0.008022482949600739</v>
      </c>
      <c r="H47" s="31" t="inlineStr">
        <is>
          <t>가능</t>
        </is>
      </c>
      <c r="I47" s="21" t="n"/>
      <c r="J47" s="21" t="n"/>
      <c r="K47" s="21" t="n"/>
      <c r="L47" s="21" t="n"/>
      <c r="M47" s="21" t="n"/>
      <c r="N47" s="21" t="n"/>
      <c r="O47" s="21" t="n"/>
      <c r="P47" s="21" t="n"/>
      <c r="Q47" s="21" t="n"/>
    </row>
    <row r="48">
      <c r="A48" s="39" t="n"/>
      <c r="B48" s="30" t="inlineStr">
        <is>
          <t>로킷헬스케어</t>
        </is>
      </c>
      <c r="C48" s="31" t="inlineStr">
        <is>
          <t>376900</t>
        </is>
      </c>
      <c r="D48" s="32" t="n">
        <v>29900</v>
      </c>
      <c r="E48" s="33" t="n">
        <v>0.5205379999999999</v>
      </c>
      <c r="F48" s="34" t="n">
        <v>9.773350212946947e-05</v>
      </c>
      <c r="G48" s="35" t="n">
        <v>0.006952818556320641</v>
      </c>
      <c r="H48" s="31" t="inlineStr">
        <is>
          <t>가능</t>
        </is>
      </c>
      <c r="I48" s="41" t="n"/>
      <c r="J48" s="41" t="n"/>
      <c r="K48" s="41" t="n"/>
      <c r="L48" s="41" t="n"/>
      <c r="M48" s="41" t="n"/>
      <c r="N48" s="41" t="n"/>
      <c r="O48" s="41" t="n"/>
      <c r="P48" s="41" t="n"/>
      <c r="Q48" s="41" t="n"/>
    </row>
    <row r="49">
      <c r="A49" s="29" t="n"/>
      <c r="B49" s="30" t="inlineStr">
        <is>
          <t>에이프릴바이오</t>
        </is>
      </c>
      <c r="C49" s="31" t="inlineStr">
        <is>
          <t>397030</t>
        </is>
      </c>
      <c r="D49" s="32" t="n">
        <v>17180</v>
      </c>
      <c r="E49" s="33" t="n">
        <v>0.47346</v>
      </c>
      <c r="F49" s="34" t="n">
        <v>8.889438219345873e-05</v>
      </c>
      <c r="G49" s="35" t="n">
        <v>0.003994963973163499</v>
      </c>
      <c r="H49" s="31" t="inlineStr">
        <is>
          <t>가능</t>
        </is>
      </c>
      <c r="I49" s="21" t="n"/>
      <c r="J49" s="21" t="n"/>
      <c r="K49" s="21" t="n"/>
      <c r="L49" s="21" t="n"/>
      <c r="M49" s="21" t="n"/>
      <c r="N49" s="21" t="n"/>
      <c r="O49" s="21" t="n"/>
      <c r="P49" s="21" t="n"/>
      <c r="Q49" s="21" t="n"/>
    </row>
    <row r="50">
      <c r="A50" s="39" t="n"/>
      <c r="B50" s="30" t="inlineStr">
        <is>
          <t>일동제약</t>
        </is>
      </c>
      <c r="C50" s="31" t="inlineStr">
        <is>
          <t>249420</t>
        </is>
      </c>
      <c r="D50" s="32" t="n">
        <v>14900</v>
      </c>
      <c r="E50" s="33" t="n">
        <v>0.47141</v>
      </c>
      <c r="F50" s="34" t="n">
        <v>8.850948487690275e-05</v>
      </c>
      <c r="G50" s="35" t="n">
        <v>0.003464782491276841</v>
      </c>
      <c r="H50" s="31" t="inlineStr">
        <is>
          <t>가능</t>
        </is>
      </c>
      <c r="I50" s="41" t="n"/>
      <c r="J50" s="41" t="n"/>
      <c r="K50" s="41" t="n"/>
      <c r="L50" s="41" t="n"/>
      <c r="M50" s="41" t="n"/>
      <c r="N50" s="41" t="n"/>
      <c r="O50" s="41" t="n"/>
      <c r="P50" s="41" t="n"/>
      <c r="Q50" s="41" t="n"/>
    </row>
    <row r="51">
      <c r="A51" s="29" t="n"/>
      <c r="B51" s="30" t="inlineStr">
        <is>
          <t>젬백스</t>
        </is>
      </c>
      <c r="C51" s="31" t="inlineStr">
        <is>
          <t>082270</t>
        </is>
      </c>
      <c r="D51" s="32" t="n">
        <v>10370</v>
      </c>
      <c r="E51" s="33" t="n">
        <v>0.459072</v>
      </c>
      <c r="F51" s="34" t="n">
        <v>8.619296629560149e-05</v>
      </c>
      <c r="G51" s="35" t="n">
        <v>0.002411395599633614</v>
      </c>
      <c r="H51" s="31" t="inlineStr">
        <is>
          <t>가능</t>
        </is>
      </c>
      <c r="I51" s="21" t="n"/>
      <c r="J51" s="21" t="n"/>
      <c r="K51" s="21" t="n"/>
      <c r="L51" s="21" t="n"/>
      <c r="M51" s="21" t="n"/>
      <c r="N51" s="21" t="n"/>
      <c r="O51" s="21" t="n"/>
      <c r="P51" s="21" t="n"/>
      <c r="Q51" s="21" t="n"/>
    </row>
    <row r="52">
      <c r="A52" s="42" t="n"/>
      <c r="B52" s="43" t="inlineStr">
        <is>
          <t>앱클론</t>
        </is>
      </c>
      <c r="C52" s="44" t="inlineStr">
        <is>
          <t>174900</t>
        </is>
      </c>
      <c r="D52" s="45" t="n">
        <v>20700</v>
      </c>
      <c r="E52" s="46" t="n">
        <v>0.413009</v>
      </c>
      <c r="F52" s="47" t="n">
        <v>7.754441746998309e-05</v>
      </c>
      <c r="G52" s="48" t="n">
        <v>0.004813489769760444</v>
      </c>
      <c r="H52" s="44" t="inlineStr">
        <is>
          <t>가능</t>
        </is>
      </c>
      <c r="I52" s="49" t="n"/>
      <c r="J52" s="49" t="n"/>
      <c r="K52" s="49" t="n"/>
      <c r="L52" s="49" t="n"/>
      <c r="M52" s="49" t="n"/>
      <c r="N52" s="49" t="n"/>
      <c r="O52" s="49" t="n"/>
      <c r="P52" s="49" t="n"/>
      <c r="Q52" s="49" t="n"/>
    </row>
    <row r="53"/>
    <row r="54" ht="22.05" customHeight="1">
      <c r="A54" s="50" t="inlineStr">
        <is>
          <t>선정 결과</t>
        </is>
      </c>
      <c r="B54" s="50" t="n"/>
      <c r="C54" s="50" t="n"/>
      <c r="D54" s="50" t="n"/>
      <c r="E54" s="50" t="n"/>
      <c r="F54" s="50" t="n"/>
      <c r="G54" s="50" t="n"/>
      <c r="H54" s="50" t="n"/>
      <c r="I54" s="50" t="n"/>
      <c r="J54" s="50" t="n"/>
      <c r="K54" s="50" t="n"/>
      <c r="L54" s="50" t="n"/>
      <c r="M54" s="50" t="n"/>
      <c r="N54" s="50" t="n"/>
      <c r="O54" s="50" t="n"/>
      <c r="P54" s="50" t="n"/>
      <c r="Q54" s="50" t="n"/>
    </row>
    <row r="55" ht="19.05" customHeight="1">
      <c r="A55" s="20" t="inlineStr">
        <is>
          <t>Top 1</t>
        </is>
      </c>
      <c r="B55" s="24" t="inlineStr">
        <is>
          <t>삼성바이오로직스</t>
        </is>
      </c>
      <c r="C55" s="51" t="inlineStr">
        <is>
          <t>4공장 가동률 상승과 대형 CDMO 장기 계약 확대로 시장 컨센서스(영업이익률 ~40% 수준)를 웃도는 45.3%의 압도적 영업이익률 기록</t>
        </is>
      </c>
      <c r="D55" s="52" t="n"/>
      <c r="E55" s="52" t="n"/>
      <c r="F55" s="52" t="n"/>
      <c r="G55" s="52" t="n"/>
      <c r="H55" s="52" t="n"/>
      <c r="I55" s="52" t="n"/>
      <c r="J55" s="52" t="n"/>
      <c r="K55" s="52" t="n"/>
      <c r="L55" s="52" t="n"/>
      <c r="M55" s="52" t="n"/>
      <c r="N55" s="52" t="n"/>
      <c r="O55" s="52" t="n"/>
      <c r="P55" s="52" t="n"/>
      <c r="Q55" s="25" t="n"/>
    </row>
    <row r="56" ht="19.05" customHeight="1">
      <c r="A56" s="20" t="inlineStr">
        <is>
          <t>Top 2</t>
        </is>
      </c>
      <c r="B56" s="24" t="inlineStr">
        <is>
          <t>알테오젠</t>
        </is>
      </c>
      <c r="C56" s="21" t="inlineStr">
        <is>
          <t>SC 제형 변경 플랫폼(ALT-B4) 기술이전 로열티 유입 본격화로 컨센서스를 뛰어넘는 52.3%의 영업이익률과 18.5%의 ROE 달성</t>
        </is>
      </c>
      <c r="D56" s="52" t="n"/>
      <c r="E56" s="52" t="n"/>
      <c r="F56" s="52" t="n"/>
      <c r="G56" s="52" t="n"/>
      <c r="H56" s="52" t="n"/>
      <c r="I56" s="52" t="n"/>
      <c r="J56" s="52" t="n"/>
      <c r="K56" s="52" t="n"/>
      <c r="L56" s="52" t="n"/>
      <c r="M56" s="52" t="n"/>
      <c r="N56" s="52" t="n"/>
      <c r="O56" s="52" t="n"/>
      <c r="P56" s="52" t="n"/>
      <c r="Q56" s="25" t="n"/>
    </row>
    <row r="57" ht="19.05" customHeight="1">
      <c r="A57" s="20" t="inlineStr">
        <is>
          <t>Top 3</t>
        </is>
      </c>
      <c r="B57" s="24" t="inlineStr">
        <is>
          <t>한미약품</t>
        </is>
      </c>
      <c r="C57" s="21" t="inlineStr">
        <is>
          <t>자체 개발 개량신약/복합제 판매 호조와 중국 자회사 실적 방어로 영업이익률 21.5% 기록, 시장 컨센서스에 부합하는 안정적 현금 창출력과 비만 파이프라인 모멘텀을 확보</t>
        </is>
      </c>
      <c r="D57" s="52" t="n"/>
      <c r="E57" s="52" t="n"/>
      <c r="F57" s="52" t="n"/>
      <c r="G57" s="52" t="n"/>
      <c r="H57" s="52" t="n"/>
      <c r="I57" s="52" t="n"/>
      <c r="J57" s="52" t="n"/>
      <c r="K57" s="52" t="n"/>
      <c r="L57" s="52" t="n"/>
      <c r="M57" s="52" t="n"/>
      <c r="N57" s="52" t="n"/>
      <c r="O57" s="52" t="n"/>
      <c r="P57" s="52" t="n"/>
      <c r="Q57" s="25" t="n"/>
    </row>
    <row r="58" ht="19.05" customHeight="1">
      <c r="A58" s="20" t="inlineStr">
        <is>
          <t>탈락 1</t>
        </is>
      </c>
      <c r="B58" s="24" t="inlineStr">
        <is>
          <t>HLB</t>
        </is>
      </c>
      <c r="C58" s="51" t="inlineStr">
        <is>
          <t>영업이익 적자, 순이익 적자 (PBR 9.37배) (간암 신약 승인 재신청 이슈로 실적 기반의 펀더멘탈 지원이 부족)</t>
        </is>
      </c>
      <c r="D58" s="52" t="n"/>
      <c r="E58" s="52" t="n"/>
      <c r="F58" s="52" t="n"/>
      <c r="G58" s="52" t="n"/>
      <c r="H58" s="52" t="n"/>
      <c r="I58" s="52" t="n"/>
      <c r="J58" s="52" t="n"/>
      <c r="K58" s="52" t="n"/>
      <c r="L58" s="52" t="n"/>
      <c r="M58" s="52" t="n"/>
      <c r="N58" s="52" t="n"/>
      <c r="O58" s="52" t="n"/>
      <c r="P58" s="52" t="n"/>
      <c r="Q58" s="25" t="n"/>
    </row>
    <row r="59" ht="19.05" customHeight="1">
      <c r="A59" s="20" t="inlineStr">
        <is>
          <t>탈락 2</t>
        </is>
      </c>
      <c r="B59" s="24" t="inlineStr">
        <is>
          <t>삼천당제약</t>
        </is>
      </c>
      <c r="C59" s="21" t="inlineStr">
        <is>
          <t>PER 270.1배, ROE 3.3% (영업이익률 6.6%)(바이오시밀러 기대감 대비 밸류에이션 부담이 극심하고 수익성이 저해됨.)</t>
        </is>
      </c>
      <c r="D59" s="52" t="n"/>
      <c r="E59" s="52" t="n"/>
      <c r="F59" s="52" t="n"/>
      <c r="G59" s="52" t="n"/>
      <c r="H59" s="52" t="n"/>
      <c r="I59" s="52" t="n"/>
      <c r="J59" s="52" t="n"/>
      <c r="K59" s="52" t="n"/>
      <c r="L59" s="52" t="n"/>
      <c r="M59" s="52" t="n"/>
      <c r="N59" s="52" t="n"/>
      <c r="O59" s="52" t="n"/>
      <c r="P59" s="52" t="n"/>
      <c r="Q59" s="25" t="n"/>
    </row>
    <row r="60" ht="19.05" customHeight="1">
      <c r="A60" s="20" t="inlineStr">
        <is>
          <t>탈락 3</t>
        </is>
      </c>
      <c r="B60" s="24" t="inlineStr">
        <is>
          <t>에이비엘바이오</t>
        </is>
      </c>
      <c r="C60" s="21" t="inlineStr">
        <is>
          <t>영업이익 적자, 순이익 적자 (PBR 18.92배) (이중항체 기술력 대비 밸류에이션이 높고 당장 실현되는 이익 지표가 부재)</t>
        </is>
      </c>
      <c r="D60" s="52" t="n"/>
      <c r="E60" s="52" t="n"/>
      <c r="F60" s="52" t="n"/>
      <c r="G60" s="52" t="n"/>
      <c r="H60" s="52" t="n"/>
      <c r="I60" s="52" t="n"/>
      <c r="J60" s="52" t="n"/>
      <c r="K60" s="52" t="n"/>
      <c r="L60" s="52" t="n"/>
      <c r="M60" s="52" t="n"/>
      <c r="N60" s="52" t="n"/>
      <c r="O60" s="52" t="n"/>
      <c r="P60" s="52" t="n"/>
      <c r="Q60" s="25" t="n"/>
    </row>
    <row r="61" ht="19.05" customHeight="1">
      <c r="A61" s="20" t="inlineStr">
        <is>
          <t>탈락 4</t>
        </is>
      </c>
      <c r="B61" s="24" t="inlineStr">
        <is>
          <t>리가켐바이오</t>
        </is>
      </c>
      <c r="C61" s="21" t="inlineStr">
        <is>
          <t>영업이익 적자, 순이익 적자 (PBR 6.92배) (ADC 기술이전 성과에도 불구하고 R&amp;D 비용 증가로 단기 재무 실적 미흡함)</t>
        </is>
      </c>
      <c r="D61" s="52" t="n"/>
      <c r="E61" s="52" t="n"/>
      <c r="F61" s="52" t="n"/>
      <c r="G61" s="52" t="n"/>
      <c r="H61" s="52" t="n"/>
      <c r="I61" s="52" t="n"/>
      <c r="J61" s="52" t="n"/>
      <c r="K61" s="52" t="n"/>
      <c r="L61" s="52" t="n"/>
      <c r="M61" s="52" t="n"/>
      <c r="N61" s="52" t="n"/>
      <c r="O61" s="52" t="n"/>
      <c r="P61" s="52" t="n"/>
      <c r="Q61" s="25" t="n"/>
    </row>
    <row r="62" ht="19.05" customHeight="1">
      <c r="A62" s="53" t="inlineStr">
        <is>
          <t>탈락 5</t>
        </is>
      </c>
      <c r="B62" s="54" t="inlineStr">
        <is>
          <t>펩트론</t>
        </is>
      </c>
      <c r="C62" s="55" t="inlineStr">
        <is>
          <t>영업이익 적자, 순이익 적자 (PBR 3.05배) (장기지속형 주사제 기술 가치 대비 연간 매출 규모(34억 원)가 작아 실적 기반이 없음)</t>
        </is>
      </c>
      <c r="D62" s="56" t="n"/>
      <c r="E62" s="56" t="n"/>
      <c r="F62" s="56" t="n"/>
      <c r="G62" s="56" t="n"/>
      <c r="H62" s="56" t="n"/>
      <c r="I62" s="56" t="n"/>
      <c r="J62" s="56" t="n"/>
      <c r="K62" s="56" t="n"/>
      <c r="L62" s="56" t="n"/>
      <c r="M62" s="56" t="n"/>
      <c r="N62" s="56" t="n"/>
      <c r="O62" s="56" t="n"/>
      <c r="P62" s="56" t="n"/>
      <c r="Q62" s="57" t="n"/>
    </row>
  </sheetData>
  <mergeCells count="16">
    <mergeCell ref="C59:Q59"/>
    <mergeCell ref="E4:F4"/>
    <mergeCell ref="C62:Q62"/>
    <mergeCell ref="C58:Q58"/>
    <mergeCell ref="B5:C5"/>
    <mergeCell ref="C60:Q60"/>
    <mergeCell ref="A7:Q7"/>
    <mergeCell ref="C57:Q57"/>
    <mergeCell ref="E5:F5"/>
    <mergeCell ref="K5:L5"/>
    <mergeCell ref="H5:I5"/>
    <mergeCell ref="C55:Q55"/>
    <mergeCell ref="C61:Q61"/>
    <mergeCell ref="H4:I4"/>
    <mergeCell ref="B4:C4"/>
    <mergeCell ref="C56:Q56"/>
  </mergeCells>
  <dataValidations count="1">
    <dataValidation sqref="Q11:Q52" showDropDown="0" showInputMessage="0" showErrorMessage="0" allowBlank="1" type="list">
      <formula1>"Top1,Top2,Top3,보류,탈락"</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9"/>
  <sheetViews>
    <sheetView showGridLines="0" workbookViewId="0">
      <pane xSplit="1" ySplit="26" topLeftCell="B27"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8" customWidth="1" min="3" max="3"/>
    <col width="10" customWidth="1" min="4" max="4"/>
    <col width="11" customWidth="1" min="5" max="5"/>
    <col width="10" customWidth="1" min="6" max="6"/>
    <col width="11" customWidth="1" min="7" max="7"/>
    <col width="10" customWidth="1" min="8" max="8"/>
    <col width="12" customWidth="1" min="9" max="9"/>
    <col width="10" customWidth="1" min="10" max="10"/>
    <col width="9" customWidth="1" min="11" max="11"/>
    <col width="11" customWidth="1" min="12" max="12"/>
    <col width="22" customWidth="1" min="13" max="13"/>
    <col width="26" customWidth="1" min="14" max="14"/>
    <col width="34" customWidth="1" min="15" max="15"/>
    <col width="18" customWidth="1" min="16" max="16"/>
    <col width="9" customWidth="1" min="17" max="17"/>
  </cols>
  <sheetData>
    <row r="1" ht="21.9" customHeight="1">
      <c r="A1" s="17" t="inlineStr">
        <is>
          <t>금융 — 보험·증권</t>
        </is>
      </c>
    </row>
    <row r="2">
      <c r="A2" s="18" t="inlineStr">
        <is>
          <t>ICOK Fund 26-2  ·  담당 산업 스크리닝</t>
        </is>
      </c>
    </row>
    <row r="3" ht="3" customHeight="1">
      <c r="A3" s="19" t="n"/>
      <c r="B3" s="19" t="n"/>
      <c r="C3" s="19" t="n"/>
      <c r="D3" s="19" t="n"/>
      <c r="E3" s="19" t="n"/>
      <c r="F3" s="19" t="n"/>
      <c r="G3" s="19" t="n"/>
      <c r="H3" s="19" t="n"/>
      <c r="I3" s="19" t="n"/>
      <c r="J3" s="19" t="n"/>
      <c r="K3" s="19" t="n"/>
      <c r="L3" s="19" t="n"/>
      <c r="M3" s="19" t="n"/>
      <c r="N3" s="19" t="n"/>
      <c r="O3" s="19" t="n"/>
      <c r="P3" s="19" t="n"/>
      <c r="Q3" s="19" t="n"/>
    </row>
    <row r="4" ht="17.1" customHeight="1">
      <c r="A4" s="20" t="inlineStr">
        <is>
          <t>팀</t>
        </is>
      </c>
      <c r="B4" s="24" t="inlineStr">
        <is>
          <t>팀 3 · 내수·디펜시브</t>
        </is>
      </c>
      <c r="C4" s="25" t="n"/>
      <c r="D4" s="20" t="inlineStr">
        <is>
          <t>담당자</t>
        </is>
      </c>
      <c r="E4" s="24" t="inlineStr">
        <is>
          <t>조찬형</t>
        </is>
      </c>
      <c r="F4" s="25" t="n"/>
      <c r="G4" s="20" t="inlineStr">
        <is>
          <t>제출일</t>
        </is>
      </c>
      <c r="H4" s="26" t="n">
        <v>46286</v>
      </c>
      <c r="I4" s="25" t="n"/>
    </row>
    <row r="5" ht="17.1" customHeight="1">
      <c r="A5" s="20" t="inlineStr">
        <is>
          <t>지수 비중</t>
        </is>
      </c>
      <c r="B5" s="24" t="inlineStr">
        <is>
          <t>3.77%</t>
        </is>
      </c>
      <c r="C5" s="25" t="n"/>
      <c r="D5" s="20" t="inlineStr">
        <is>
          <t>배정액</t>
        </is>
      </c>
      <c r="E5" s="24" t="inlineStr">
        <is>
          <t>1,056,617원</t>
        </is>
      </c>
      <c r="F5" s="25" t="n"/>
      <c r="G5" s="20" t="inlineStr">
        <is>
          <t>종목 수</t>
        </is>
      </c>
      <c r="H5" s="24" t="inlineStr">
        <is>
          <t>19</t>
        </is>
      </c>
      <c r="I5" s="25" t="n"/>
      <c r="J5" s="20" t="inlineStr">
        <is>
          <t>기준일</t>
        </is>
      </c>
      <c r="K5" s="24" t="inlineStr">
        <is>
          <t>2026-09-15</t>
        </is>
      </c>
      <c r="L5" s="25" t="n"/>
    </row>
    <row r="6"/>
    <row r="7" ht="15" customHeight="1">
      <c r="A7" s="27" t="inlineStr">
        <is>
          <t>보험은 IFRS17 기준 CSM을 확인한다.</t>
        </is>
      </c>
    </row>
    <row r="8">
      <c r="A8" s="18" t="inlineStr">
        <is>
          <t>음영 셀은 기입 완료. 흰색 셀만 작성한다.</t>
        </is>
      </c>
    </row>
    <row r="9"/>
    <row r="10" ht="26.1" customHeight="1">
      <c r="A10" s="28" t="inlineStr">
        <is>
          <t>하위 테마</t>
        </is>
      </c>
      <c r="B10" s="28" t="inlineStr">
        <is>
          <t>기업명</t>
        </is>
      </c>
      <c r="C10" s="28" t="inlineStr">
        <is>
          <t>코드</t>
        </is>
      </c>
      <c r="D10" s="28" t="inlineStr">
        <is>
          <t>주가</t>
        </is>
      </c>
      <c r="E10" s="28" t="inlineStr">
        <is>
          <t>시가총액(조)</t>
        </is>
      </c>
      <c r="F10" s="28" t="inlineStr">
        <is>
          <t>지수 비중</t>
        </is>
      </c>
      <c r="G10" s="28" t="inlineStr">
        <is>
          <t>1주 / 팀예산</t>
        </is>
      </c>
      <c r="H10" s="28" t="inlineStr">
        <is>
          <t>매수 판정</t>
        </is>
      </c>
      <c r="I10" s="28" t="inlineStr">
        <is>
          <t>매출 CAGR(3Y)</t>
        </is>
      </c>
      <c r="J10" s="28" t="inlineStr">
        <is>
          <t>영업이익률</t>
        </is>
      </c>
      <c r="K10" s="28" t="inlineStr">
        <is>
          <t>ROE</t>
        </is>
      </c>
      <c r="L10" s="28" t="inlineStr">
        <is>
          <t>PER / PBR</t>
        </is>
      </c>
      <c r="M10" s="28" t="inlineStr">
        <is>
          <t>주요 제품</t>
        </is>
      </c>
      <c r="N10" s="28" t="inlineStr">
        <is>
          <t>시장 포지셔닝</t>
        </is>
      </c>
      <c r="O10" s="28" t="inlineStr">
        <is>
          <t>투자포인트 / 탈락 사유</t>
        </is>
      </c>
      <c r="P10" s="28" t="inlineStr">
        <is>
          <t>출처 · 기준일</t>
        </is>
      </c>
      <c r="Q10" s="28" t="inlineStr">
        <is>
          <t>판정</t>
        </is>
      </c>
    </row>
    <row r="11" ht="39.6" customHeight="1">
      <c r="A11" s="29" t="inlineStr">
        <is>
          <t>생명보험</t>
        </is>
      </c>
      <c r="B11" s="30" t="inlineStr">
        <is>
          <t>삼성생명</t>
        </is>
      </c>
      <c r="C11" s="31" t="inlineStr">
        <is>
          <t>032830</t>
        </is>
      </c>
      <c r="D11" s="32" t="n">
        <v>285500</v>
      </c>
      <c r="E11" s="33" t="n">
        <v>57.1</v>
      </c>
      <c r="F11" s="34" t="n">
        <v>0.01072079842699804</v>
      </c>
      <c r="G11" s="35" t="n">
        <v>0.066388953104667</v>
      </c>
      <c r="H11" s="31" t="inlineStr">
        <is>
          <t>가능</t>
        </is>
      </c>
      <c r="I11" s="36" t="n">
        <v>0.0467</v>
      </c>
      <c r="J11" s="36" t="n">
        <v>0.07389999999999999</v>
      </c>
      <c r="K11" s="36" t="n">
        <v>0.0713</v>
      </c>
      <c r="L11" s="21" t="inlineStr">
        <is>
          <t>13.69x / 0.40x</t>
        </is>
      </c>
      <c r="M11" s="21" t="inlineStr">
        <is>
          <t>종신·건강·연금보험, 퇴직연금, 자산운용</t>
        </is>
      </c>
      <c r="N11" s="21" t="inlineStr">
        <is>
          <t>국내 최대권 생명보험사, 삼성그룹 금융계열 핵심</t>
        </is>
      </c>
      <c r="O11" s="21" t="inlineStr">
        <is>
          <t>압도적인 자본력과 브랜드, 안정적인 보장성·연금보험 기반. 다만 PER이 10배를 넘어 저평가 매력은 DB손보·현대해상보다 낮음.</t>
        </is>
      </c>
      <c r="P11" s="21" t="inlineStr">
        <is>
          <t>FnGuide·와이즈 리포트·Alpha Square·시장 자료 / 2026-09-15</t>
        </is>
      </c>
      <c r="Q11" s="21" t="inlineStr">
        <is>
          <t>Top 2</t>
        </is>
      </c>
    </row>
    <row r="12" ht="39.6" customHeight="1">
      <c r="A12" s="39" t="inlineStr">
        <is>
          <t>손해보험</t>
        </is>
      </c>
      <c r="B12" s="30" t="inlineStr">
        <is>
          <t>삼성화재</t>
        </is>
      </c>
      <c r="C12" s="31" t="inlineStr">
        <is>
          <t>000810</t>
        </is>
      </c>
      <c r="D12" s="32" t="n">
        <v>661000</v>
      </c>
      <c r="E12" s="33" t="n">
        <v>29.51198</v>
      </c>
      <c r="F12" s="34" t="n">
        <v>0.00554101556500171</v>
      </c>
      <c r="G12" s="35" t="n">
        <v>0.1537061225995968</v>
      </c>
      <c r="H12" s="31" t="inlineStr">
        <is>
          <t>가능</t>
        </is>
      </c>
      <c r="I12" s="36" t="n">
        <v>0.06419999999999999</v>
      </c>
      <c r="J12" s="36" t="n">
        <v>0.1186</v>
      </c>
      <c r="K12" s="36" t="n">
        <v>0.1204</v>
      </c>
      <c r="L12" s="21" t="inlineStr">
        <is>
          <t>14.50x / 0.75x</t>
        </is>
      </c>
      <c r="M12" s="21" t="inlineStr">
        <is>
          <t>자동차·장기·일반보험, 재보험</t>
        </is>
      </c>
      <c r="N12" s="21" t="inlineStr">
        <is>
          <t>국내 대표 손해보험사, 손보업계 상위권</t>
        </is>
      </c>
      <c r="O12" s="21" t="inlineStr">
        <is>
          <t>높은 브랜드 신뢰도, 우수한 보험손익과 자본건전성, 자동차·장기보험 포트폴리오. 다만 PBR 1배 이상으로 보험업 평균 대비 밸류에이션 부담.</t>
        </is>
      </c>
      <c r="P12" s="21" t="inlineStr">
        <is>
          <t>FnGuide·와이즈 리포트·Alpha Square·시장 자료 / 2026-09-15</t>
        </is>
      </c>
      <c r="Q12" s="21" t="inlineStr">
        <is>
          <t>탈락 1</t>
        </is>
      </c>
    </row>
    <row r="13" ht="39.6" customHeight="1">
      <c r="A13" s="58" t="inlineStr">
        <is>
          <t>금융지주·보험/증권</t>
        </is>
      </c>
      <c r="B13" s="30" t="inlineStr">
        <is>
          <t>메리츠금융지주</t>
        </is>
      </c>
      <c r="C13" s="31" t="inlineStr">
        <is>
          <t>138040</t>
        </is>
      </c>
      <c r="D13" s="32" t="n">
        <v>126500</v>
      </c>
      <c r="E13" s="33" t="n">
        <v>21.16943</v>
      </c>
      <c r="F13" s="34" t="n">
        <v>0.003974661853668042</v>
      </c>
      <c r="G13" s="35" t="n">
        <v>0.02941577081520271</v>
      </c>
      <c r="H13" s="31" t="inlineStr">
        <is>
          <t>가능</t>
        </is>
      </c>
      <c r="I13" s="36" t="n">
        <v>-0.055</v>
      </c>
      <c r="J13" s="36" t="n">
        <v>0.2048</v>
      </c>
      <c r="K13" s="36" t="n">
        <v>0.2249</v>
      </c>
      <c r="L13" s="21" t="inlineStr">
        <is>
          <t>9.04x / 1.92x</t>
        </is>
      </c>
      <c r="M13" s="21" t="inlineStr">
        <is>
          <t>메리츠화재, 메리츠증권, 기업금융·투자금융</t>
        </is>
      </c>
      <c r="N13" s="21" t="inlineStr">
        <is>
          <t>보험과 증권을 결합한 고ROE 금융지주</t>
        </is>
      </c>
      <c r="O13" s="21" t="inlineStr">
        <is>
          <t>ROE 약 22.5%로 12개 종목 중 수익성 우수. 주주환원과 자본배분도 강점이나 PBR 약 2배로 높은 프리미엄이 이미 반영됨.</t>
        </is>
      </c>
      <c r="P13" s="21" t="inlineStr">
        <is>
          <t>FnGuide·와이즈 리포트·Alpha Square·시장 자료 / 2026-09-15</t>
        </is>
      </c>
      <c r="Q13" s="21" t="inlineStr">
        <is>
          <t>탈락 2</t>
        </is>
      </c>
    </row>
    <row r="14" ht="39.6" customHeight="1">
      <c r="A14" s="39" t="inlineStr">
        <is>
          <t>대형 종합 증권</t>
        </is>
      </c>
      <c r="B14" s="30" t="inlineStr">
        <is>
          <t>미래에셋증권</t>
        </is>
      </c>
      <c r="C14" s="31" t="inlineStr">
        <is>
          <t>006800</t>
        </is>
      </c>
      <c r="D14" s="32" t="n">
        <v>32050</v>
      </c>
      <c r="E14" s="33" t="n">
        <v>17.403825</v>
      </c>
      <c r="F14" s="34" t="n">
        <v>0.003267651483077919</v>
      </c>
      <c r="G14" s="35" t="n">
        <v>0.007452770392310253</v>
      </c>
      <c r="H14" s="31" t="inlineStr">
        <is>
          <t>가능</t>
        </is>
      </c>
      <c r="I14" s="36" t="n">
        <v>0.4413</v>
      </c>
      <c r="J14" s="36" t="n">
        <v>0.0586</v>
      </c>
      <c r="K14" s="36" t="n">
        <v>0.198</v>
      </c>
      <c r="L14" s="21" t="inlineStr">
        <is>
          <t>6.80x / 1.30x</t>
        </is>
      </c>
      <c r="M14" s="21" t="inlineStr">
        <is>
          <t>위탁매매, IB, WM, 해외·대체투자, 자산관리</t>
        </is>
      </c>
      <c r="N14" s="21" t="inlineStr">
        <is>
          <t>글로벌·대체투자 역량을 갖춘 대형 증권사</t>
        </is>
      </c>
      <c r="O14" s="21" t="inlineStr">
        <is>
          <t>해외사업, WM, IB, 대체투자 및 자산관리 다변화. 반면 거래대금 감소와 금리 상승으로 3분기 실적 컨센서스 하향 위험이 존재.</t>
        </is>
      </c>
      <c r="P14" s="21" t="inlineStr">
        <is>
          <t>FnGuide·와이즈 리포트·Alpha Square·시장 자료 / 2026-09-15</t>
        </is>
      </c>
      <c r="Q14" s="21" t="inlineStr">
        <is>
          <t>보류</t>
        </is>
      </c>
    </row>
    <row r="15" ht="39.6" customHeight="1">
      <c r="A15" s="29" t="inlineStr">
        <is>
          <t>손해보험</t>
        </is>
      </c>
      <c r="B15" s="30" t="inlineStr">
        <is>
          <t>DB손해보험</t>
        </is>
      </c>
      <c r="C15" s="31" t="inlineStr">
        <is>
          <t>005830</t>
        </is>
      </c>
      <c r="D15" s="32" t="n">
        <v>188700</v>
      </c>
      <c r="E15" s="33" t="n">
        <v>12.359916</v>
      </c>
      <c r="F15" s="34" t="n">
        <v>0.002320633415247424</v>
      </c>
      <c r="G15" s="35" t="n">
        <v>0.043879493698251</v>
      </c>
      <c r="H15" s="31" t="inlineStr">
        <is>
          <t>가능</t>
        </is>
      </c>
      <c r="I15" s="36" t="n">
        <v>0.0496</v>
      </c>
      <c r="J15" s="36" t="n">
        <v>0.1241</v>
      </c>
      <c r="K15" s="36" t="n">
        <v>0.159</v>
      </c>
      <c r="L15" s="21" t="inlineStr">
        <is>
          <t>6.80x / 0.90x</t>
        </is>
      </c>
      <c r="M15" s="21" t="inlineStr">
        <is>
          <t>자동차·장기·일반보험</t>
        </is>
      </c>
      <c r="N15" s="21" t="inlineStr">
        <is>
          <t>수익성 중심의 대형 손해보험사</t>
        </is>
      </c>
      <c r="O15" s="21" t="inlineStr">
        <is>
          <t>높은 ROE와 낮은 PER의 조합이 매력적. 보험손익과 장기보험 수익성이 우수해 가치·수익성 균형이 좋음.</t>
        </is>
      </c>
      <c r="P15" s="21" t="inlineStr">
        <is>
          <t>FnGuide·와이즈 리포트·Alpha Square·시장 자료 / 2026-09-15</t>
        </is>
      </c>
      <c r="Q15" s="21" t="inlineStr">
        <is>
          <t>Top 1</t>
        </is>
      </c>
    </row>
    <row r="16" ht="52.8" customHeight="1">
      <c r="A16" s="39" t="inlineStr">
        <is>
          <t>금융지주·증권</t>
        </is>
      </c>
      <c r="B16" s="30" t="inlineStr">
        <is>
          <t>한국금융지주</t>
        </is>
      </c>
      <c r="C16" s="31" t="inlineStr">
        <is>
          <t>071050</t>
        </is>
      </c>
      <c r="D16" s="32" t="n">
        <v>191200</v>
      </c>
      <c r="E16" s="33" t="n">
        <v>10.65481</v>
      </c>
      <c r="F16" s="34" t="n">
        <v>0.002000491598738407</v>
      </c>
      <c r="G16" s="35" t="n">
        <v>0.04446083304242497</v>
      </c>
      <c r="H16" s="31" t="inlineStr">
        <is>
          <t>가능</t>
        </is>
      </c>
      <c r="I16" s="36" t="n">
        <v>0.08740000000000001</v>
      </c>
      <c r="J16" s="36" t="n">
        <v>0.151</v>
      </c>
      <c r="K16" s="36" t="n">
        <v>0.231</v>
      </c>
      <c r="L16" s="21" t="inlineStr">
        <is>
          <t>3.80x / 0.80x</t>
        </is>
      </c>
      <c r="M16" s="21" t="inlineStr">
        <is>
          <t>한국투자증권, 자산운용, 저축은행, 벤처투자</t>
        </is>
      </c>
      <c r="N16" s="21" t="inlineStr">
        <is>
          <t>비은행 금융그룹 및 종합 투자금융 플랫폼</t>
        </is>
      </c>
      <c r="O16" s="21" t="inlineStr">
        <is>
          <t>증권·자산운용·벤처투자 사업을 보유해 자본시장 활황의 수혜 가능. PER 약 4.9배, 예상 배당수익률 6% 이상이라는 점은 긍정적이나 증시 거래대금 감소에 민감.</t>
        </is>
      </c>
      <c r="P16" s="21" t="inlineStr">
        <is>
          <t>FnGuide·와이즈 리포트·Alpha Square·시장 자료 / 2026-09-15</t>
        </is>
      </c>
      <c r="Q16" s="21" t="inlineStr">
        <is>
          <t>Top 3</t>
        </is>
      </c>
    </row>
    <row r="17" ht="39.6" customHeight="1">
      <c r="A17" s="29" t="inlineStr">
        <is>
          <t>대형 종합 증권</t>
        </is>
      </c>
      <c r="B17" s="30" t="inlineStr">
        <is>
          <t>NH투자증권</t>
        </is>
      </c>
      <c r="C17" s="31" t="inlineStr">
        <is>
          <t>005940</t>
        </is>
      </c>
      <c r="D17" s="32" t="n">
        <v>25850</v>
      </c>
      <c r="E17" s="33" t="n">
        <v>9.543977999999999</v>
      </c>
      <c r="F17" s="34" t="n">
        <v>0.001791927571448405</v>
      </c>
      <c r="G17" s="35" t="n">
        <v>0.006011048818758816</v>
      </c>
      <c r="H17" s="31" t="inlineStr">
        <is>
          <t>가능</t>
        </is>
      </c>
      <c r="I17" s="36" t="n">
        <v>0.1028</v>
      </c>
      <c r="J17" s="36" t="n">
        <v>0.0885</v>
      </c>
      <c r="K17" s="36" t="n">
        <v>0.1176</v>
      </c>
      <c r="L17" s="21" t="inlineStr">
        <is>
          <t>7.20x / 0.90x</t>
        </is>
      </c>
      <c r="M17" s="21" t="inlineStr">
        <is>
          <t>위탁매매, IB, WM, 연금·자산관리</t>
        </is>
      </c>
      <c r="N17" s="21" t="inlineStr">
        <is>
          <t>농협금융 계열 대형 종합증권사</t>
        </is>
      </c>
      <c r="O17" s="21" t="inlineStr">
        <is>
          <t>IB, WM, 연금 부문과 농협 계열 네트워크가 강점. 다만 증권업 전반의 거래대금 감소와 금리 상승에 따른 실적 둔화 가능성.</t>
        </is>
      </c>
      <c r="P17" s="21" t="inlineStr">
        <is>
          <t>FnGuide·와이즈 리포트·Alpha Square·시장 자료 / 2026-09-15</t>
        </is>
      </c>
      <c r="Q17" s="21" t="inlineStr">
        <is>
          <t>보류</t>
        </is>
      </c>
    </row>
    <row r="18" ht="39.6" customHeight="1">
      <c r="A18" s="39" t="inlineStr">
        <is>
          <t>대형 종합 증권</t>
        </is>
      </c>
      <c r="B18" s="30" t="inlineStr">
        <is>
          <t>삼성증권</t>
        </is>
      </c>
      <c r="C18" s="31" t="inlineStr">
        <is>
          <t>016360</t>
        </is>
      </c>
      <c r="D18" s="32" t="n">
        <v>86900</v>
      </c>
      <c r="E18" s="33" t="n">
        <v>7.76017</v>
      </c>
      <c r="F18" s="34" t="n">
        <v>0.001457009077569832</v>
      </c>
      <c r="G18" s="35" t="n">
        <v>0.02020735560348708</v>
      </c>
      <c r="H18" s="31" t="inlineStr">
        <is>
          <t>가능</t>
        </is>
      </c>
      <c r="I18" s="36" t="n">
        <v>0.0813</v>
      </c>
      <c r="J18" s="36" t="n">
        <v>0.1096</v>
      </c>
      <c r="K18" s="36" t="n">
        <v>0.189</v>
      </c>
      <c r="L18" s="21" t="inlineStr">
        <is>
          <t>5.00x / 0.90x</t>
        </is>
      </c>
      <c r="M18" s="21" t="inlineStr">
        <is>
          <t>위탁매매, WM, IB, 운용상품</t>
        </is>
      </c>
      <c r="N18" s="21" t="inlineStr">
        <is>
          <t>고액자산가 중심의 WM 강자</t>
        </is>
      </c>
      <c r="O18" s="21" t="inlineStr">
        <is>
          <t>WM 기반의 안정적인 수익구조, 삼성 브랜드, IB 확대가 강점. 그러나 삼성화재·DB손보 대비 PER이 높고 주가에 실적 기대가 반영됨.</t>
        </is>
      </c>
      <c r="P18" s="21" t="inlineStr">
        <is>
          <t>FnGuide·와이즈 리포트·Alpha Square·시장 자료 / 2026-09-15</t>
        </is>
      </c>
      <c r="Q18" s="21" t="inlineStr">
        <is>
          <t>보류</t>
        </is>
      </c>
    </row>
    <row r="19" ht="39.6" customHeight="1">
      <c r="A19" s="29" t="inlineStr">
        <is>
          <t>온라인 증권·브로커리지</t>
        </is>
      </c>
      <c r="B19" s="30" t="inlineStr">
        <is>
          <t>키움증권</t>
        </is>
      </c>
      <c r="C19" s="31" t="inlineStr">
        <is>
          <t>039490</t>
        </is>
      </c>
      <c r="D19" s="32" t="n">
        <v>268500</v>
      </c>
      <c r="E19" s="33" t="n">
        <v>7.042303</v>
      </c>
      <c r="F19" s="34" t="n">
        <v>0.001322226110767839</v>
      </c>
      <c r="G19" s="35" t="n">
        <v>0.06243584556428402</v>
      </c>
      <c r="H19" s="31" t="inlineStr">
        <is>
          <t>가능</t>
        </is>
      </c>
      <c r="I19" s="36" t="n">
        <v>0.0746</v>
      </c>
      <c r="J19" s="36" t="n">
        <v>0.09710000000000001</v>
      </c>
      <c r="K19" s="36" t="n">
        <v>0.24</v>
      </c>
      <c r="L19" s="21" t="inlineStr">
        <is>
          <t>4.40x / 1.00x</t>
        </is>
      </c>
      <c r="M19" s="21" t="inlineStr">
        <is>
          <t>온라인 주식매매, 신용융자, 해외주식, IB</t>
        </is>
      </c>
      <c r="N19" s="21" t="inlineStr">
        <is>
          <t>개인투자자 중심 온라인 브로커리지 1위권</t>
        </is>
      </c>
      <c r="O19" s="21" t="inlineStr">
        <is>
          <t>높은 ROE와 개인 거래대금 증가의 직접적인 수혜. 그러나 브로커리지 의존도가 높아 거래대금 감소 시 이익 변동성이 큼.</t>
        </is>
      </c>
      <c r="P19" s="21" t="inlineStr">
        <is>
          <t>FnGuide·와이즈 리포트·Alpha Square·시장 자료 / 2026-09-15</t>
        </is>
      </c>
      <c r="Q19" s="21" t="inlineStr">
        <is>
          <t>보류</t>
        </is>
      </c>
    </row>
    <row r="20" ht="39.6" customHeight="1">
      <c r="A20" s="39" t="inlineStr">
        <is>
          <t>신용카드·소비자금융</t>
        </is>
      </c>
      <c r="B20" s="30" t="inlineStr">
        <is>
          <t>삼성카드</t>
        </is>
      </c>
      <c r="C20" s="31" t="inlineStr">
        <is>
          <t>029780</t>
        </is>
      </c>
      <c r="D20" s="32" t="n">
        <v>45250</v>
      </c>
      <c r="E20" s="33" t="n">
        <v>5.242615</v>
      </c>
      <c r="F20" s="34" t="n">
        <v>0.0009843260708468711</v>
      </c>
      <c r="G20" s="35" t="n">
        <v>0.0105222421295488</v>
      </c>
      <c r="H20" s="31" t="inlineStr">
        <is>
          <t>가능</t>
        </is>
      </c>
      <c r="I20" s="36" t="n">
        <v>0.0228</v>
      </c>
      <c r="J20" s="36" t="n">
        <v>0.1676</v>
      </c>
      <c r="K20" s="36" t="n">
        <v>0.065</v>
      </c>
      <c r="L20" s="21" t="inlineStr">
        <is>
          <t>10.00x / 0.70x</t>
        </is>
      </c>
      <c r="M20" s="21" t="inlineStr">
        <is>
          <t>신용판매, 카드론, 할부금융, 회원서비스</t>
        </is>
      </c>
      <c r="N20" s="21" t="inlineStr">
        <is>
          <t>국내 대표 신용카드사</t>
        </is>
      </c>
      <c r="O20" s="21" t="inlineStr">
        <is>
          <t>안정적인 회원 기반과 높은 영업이익률, 배당 매력. 다만 가맹점 수수료 규제와 카드론 건전성, 소비 둔화가 부담.</t>
        </is>
      </c>
      <c r="P20" s="21" t="inlineStr">
        <is>
          <t>FnGuide·와이즈 리포트·Alpha Square·시장 자료 / 2026-09-15</t>
        </is>
      </c>
      <c r="Q20" s="21" t="inlineStr">
        <is>
          <t>탈락 3</t>
        </is>
      </c>
    </row>
    <row r="21" ht="39.6" customHeight="1">
      <c r="A21" s="29" t="inlineStr">
        <is>
          <t>생명보험</t>
        </is>
      </c>
      <c r="B21" s="30" t="inlineStr">
        <is>
          <t>한화생명</t>
        </is>
      </c>
      <c r="C21" s="31" t="inlineStr">
        <is>
          <t>088350</t>
        </is>
      </c>
      <c r="D21" s="32" t="n">
        <v>5970</v>
      </c>
      <c r="E21" s="33" t="n">
        <v>5.185124</v>
      </c>
      <c r="F21" s="34" t="n">
        <v>0.0009735318602975446</v>
      </c>
      <c r="G21" s="35" t="n">
        <v>0.001388238353887432</v>
      </c>
      <c r="H21" s="31" t="inlineStr">
        <is>
          <t>가능</t>
        </is>
      </c>
      <c r="I21" s="36" t="n">
        <v>0.0381</v>
      </c>
      <c r="J21" s="36" t="n">
        <v>0.0684</v>
      </c>
      <c r="K21" s="36" t="n">
        <v>0.062</v>
      </c>
      <c r="L21" s="21" t="inlineStr">
        <is>
          <t>3.24x / 0.35x</t>
        </is>
      </c>
      <c r="M21" s="58" t="inlineStr">
        <is>
          <t>종신·건강·연금보험, 퇴직연금</t>
        </is>
      </c>
      <c r="N21" s="21" t="inlineStr">
        <is>
          <t>대형 생명보험사, 한화금융그룹 핵심</t>
        </is>
      </c>
      <c r="O21" s="21" t="inlineStr">
        <is>
          <t>낮은 PBR과 금리·보장성보험 개선 기대. 다만 ROE와 자본효율성이 삼성생명·메리츠금융보다 낮고 생명보험 업종의 성장성이 제한적.</t>
        </is>
      </c>
      <c r="P21" s="21" t="inlineStr">
        <is>
          <t>FnGuide·와이즈 리포트·Alpha Square·시장 자료 / 2026-09-15</t>
        </is>
      </c>
      <c r="Q21" s="21" t="inlineStr">
        <is>
          <t>탈락 4</t>
        </is>
      </c>
    </row>
    <row r="22" ht="39.6" customHeight="1">
      <c r="A22" s="39" t="inlineStr">
        <is>
          <t>손해보험</t>
        </is>
      </c>
      <c r="B22" s="30" t="inlineStr">
        <is>
          <t>현대해상</t>
        </is>
      </c>
      <c r="C22" s="31" t="inlineStr">
        <is>
          <t>001450</t>
        </is>
      </c>
      <c r="D22" s="32" t="n">
        <v>49200</v>
      </c>
      <c r="E22" s="33" t="n">
        <v>4.194214</v>
      </c>
      <c r="F22" s="34" t="n">
        <v>0.0007874837627617016</v>
      </c>
      <c r="G22" s="35" t="n">
        <v>0.01144075829334366</v>
      </c>
      <c r="H22" s="31" t="inlineStr">
        <is>
          <t>가능</t>
        </is>
      </c>
      <c r="I22" s="36" t="n">
        <v>0.0571</v>
      </c>
      <c r="J22" s="36" t="n">
        <v>0.1032</v>
      </c>
      <c r="K22" s="36" t="n">
        <v>0.138</v>
      </c>
      <c r="L22" s="21" t="inlineStr">
        <is>
          <t>6.80x / 1.00x</t>
        </is>
      </c>
      <c r="M22" s="21" t="inlineStr">
        <is>
          <t>자동차·장기·일반보험</t>
        </is>
      </c>
      <c r="N22" s="21" t="inlineStr">
        <is>
          <t>대형 손해보험사, 자동차·장기보험 중심</t>
        </is>
      </c>
      <c r="O22" s="21" t="inlineStr">
        <is>
          <t>PER 약 3.0~3.8배, PBR 약 0.52~0.60배로 저평가. 다만 낮은 주주환원 여력과 자동차보험 손해율, 장기보험 손익 변동성이 할인요인.</t>
        </is>
      </c>
      <c r="P22" s="21" t="inlineStr">
        <is>
          <t>FnGuide·와이즈 리포트·Alpha Square·시장 자료 / 2026-09-15</t>
        </is>
      </c>
      <c r="Q22" s="21" t="inlineStr">
        <is>
          <t>탈락 5</t>
        </is>
      </c>
    </row>
    <row r="23">
      <c r="A23" s="29" t="n"/>
      <c r="B23" s="30" t="inlineStr">
        <is>
          <t>서울보증보험</t>
        </is>
      </c>
      <c r="C23" s="31" t="inlineStr">
        <is>
          <t>031210</t>
        </is>
      </c>
      <c r="D23" s="32" t="n">
        <v>42950</v>
      </c>
      <c r="E23" s="33" t="n">
        <v>2.998838</v>
      </c>
      <c r="F23" s="34" t="n">
        <v>0.0005630461946273547</v>
      </c>
      <c r="G23" s="35" t="n">
        <v>0.009987409932908748</v>
      </c>
      <c r="H23" s="31" t="inlineStr">
        <is>
          <t>가능</t>
        </is>
      </c>
      <c r="I23" s="21" t="n"/>
      <c r="J23" s="21" t="n"/>
      <c r="K23" s="21" t="n"/>
      <c r="L23" s="21" t="n"/>
      <c r="M23" s="21" t="n"/>
      <c r="N23" s="21" t="n"/>
      <c r="O23" s="21" t="n"/>
      <c r="P23" s="21" t="n"/>
      <c r="Q23" s="21" t="n"/>
    </row>
    <row r="24">
      <c r="A24" s="39" t="n"/>
      <c r="B24" s="30" t="inlineStr">
        <is>
          <t>코리안리</t>
        </is>
      </c>
      <c r="C24" s="31" t="inlineStr">
        <is>
          <t>003690</t>
        </is>
      </c>
      <c r="D24" s="32" t="n">
        <v>15020</v>
      </c>
      <c r="E24" s="33" t="n">
        <v>2.65435</v>
      </c>
      <c r="F24" s="34" t="n">
        <v>0.0004983669230245578</v>
      </c>
      <c r="G24" s="35" t="n">
        <v>0.003492686779797192</v>
      </c>
      <c r="H24" s="31" t="inlineStr">
        <is>
          <t>가능</t>
        </is>
      </c>
      <c r="I24" s="41" t="n"/>
      <c r="J24" s="41" t="n"/>
      <c r="K24" s="41" t="n"/>
      <c r="L24" s="41" t="n"/>
      <c r="M24" s="41" t="n"/>
      <c r="N24" s="41" t="n"/>
      <c r="O24" s="41" t="n"/>
      <c r="P24" s="41" t="n"/>
      <c r="Q24" s="41" t="n"/>
    </row>
    <row r="25">
      <c r="A25" s="29" t="n"/>
      <c r="B25" s="30" t="inlineStr">
        <is>
          <t>미래에셋생명</t>
        </is>
      </c>
      <c r="C25" s="31" t="inlineStr">
        <is>
          <t>085620</t>
        </is>
      </c>
      <c r="D25" s="32" t="n">
        <v>19280</v>
      </c>
      <c r="E25" s="33" t="n">
        <v>2.60627</v>
      </c>
      <c r="F25" s="34" t="n">
        <v>0.0004893396727904061</v>
      </c>
      <c r="G25" s="35" t="n">
        <v>0.004483289022269631</v>
      </c>
      <c r="H25" s="31" t="inlineStr">
        <is>
          <t>가능</t>
        </is>
      </c>
      <c r="I25" s="21" t="n"/>
      <c r="J25" s="21" t="n"/>
      <c r="K25" s="21" t="n"/>
      <c r="L25" s="21" t="n"/>
      <c r="M25" s="21" t="n"/>
      <c r="N25" s="21" t="n"/>
      <c r="O25" s="21" t="n"/>
      <c r="P25" s="21" t="n"/>
      <c r="Q25" s="21" t="n"/>
    </row>
    <row r="26">
      <c r="A26" s="39" t="n"/>
      <c r="B26" s="30" t="inlineStr">
        <is>
          <t>신영증권</t>
        </is>
      </c>
      <c r="C26" s="31" t="inlineStr">
        <is>
          <t>001720</t>
        </is>
      </c>
      <c r="D26" s="32" t="n">
        <v>146200</v>
      </c>
      <c r="E26" s="33" t="n">
        <v>2.403528</v>
      </c>
      <c r="F26" s="34" t="n">
        <v>0.0004512738914473862</v>
      </c>
      <c r="G26" s="35" t="n">
        <v>0.03399672484729357</v>
      </c>
      <c r="H26" s="31" t="inlineStr">
        <is>
          <t>가능</t>
        </is>
      </c>
      <c r="I26" s="41" t="n"/>
      <c r="J26" s="41" t="n"/>
      <c r="K26" s="41" t="n"/>
      <c r="L26" s="41" t="n"/>
      <c r="M26" s="41" t="n"/>
      <c r="N26" s="41" t="n"/>
      <c r="O26" s="41" t="n"/>
      <c r="P26" s="41" t="n"/>
      <c r="Q26" s="41" t="n"/>
    </row>
    <row r="27">
      <c r="A27" s="29" t="n"/>
      <c r="B27" s="30" t="inlineStr">
        <is>
          <t>대신증권</t>
        </is>
      </c>
      <c r="C27" s="31" t="inlineStr">
        <is>
          <t>003540</t>
        </is>
      </c>
      <c r="D27" s="32" t="n">
        <v>27000</v>
      </c>
      <c r="E27" s="33" t="n">
        <v>1.286985</v>
      </c>
      <c r="F27" s="34" t="n">
        <v>0.0002416375965598962</v>
      </c>
      <c r="G27" s="35" t="n">
        <v>0.00627846491707884</v>
      </c>
      <c r="H27" s="31" t="inlineStr">
        <is>
          <t>가능</t>
        </is>
      </c>
      <c r="I27" s="21" t="n"/>
      <c r="J27" s="21" t="n"/>
      <c r="K27" s="21" t="n"/>
      <c r="L27" s="21" t="n"/>
      <c r="M27" s="21" t="n"/>
      <c r="N27" s="21" t="n"/>
      <c r="O27" s="21" t="n"/>
      <c r="P27" s="21" t="n"/>
      <c r="Q27" s="21" t="n"/>
    </row>
    <row r="28">
      <c r="A28" s="39" t="n"/>
      <c r="B28" s="30" t="inlineStr">
        <is>
          <t>한화투자증권</t>
        </is>
      </c>
      <c r="C28" s="31" t="inlineStr">
        <is>
          <t>003530</t>
        </is>
      </c>
      <c r="D28" s="32" t="n">
        <v>4745</v>
      </c>
      <c r="E28" s="33" t="n">
        <v>1.018029</v>
      </c>
      <c r="F28" s="34" t="n">
        <v>0.000191139819646907</v>
      </c>
      <c r="G28" s="35" t="n">
        <v>0.001103382075242189</v>
      </c>
      <c r="H28" s="31" t="inlineStr">
        <is>
          <t>가능</t>
        </is>
      </c>
      <c r="I28" s="41" t="n"/>
      <c r="J28" s="41" t="n"/>
      <c r="K28" s="41" t="n"/>
      <c r="L28" s="41" t="n"/>
      <c r="M28" s="41" t="n"/>
      <c r="N28" s="41" t="n"/>
      <c r="O28" s="41" t="n"/>
      <c r="P28" s="41" t="n"/>
      <c r="Q28" s="41" t="n"/>
    </row>
    <row r="29">
      <c r="A29" s="59" t="n"/>
      <c r="B29" s="43" t="inlineStr">
        <is>
          <t>미래에셋벤처투자</t>
        </is>
      </c>
      <c r="C29" s="44" t="inlineStr">
        <is>
          <t>100790</t>
        </is>
      </c>
      <c r="D29" s="45" t="n">
        <v>16020</v>
      </c>
      <c r="E29" s="46" t="n">
        <v>0.850992</v>
      </c>
      <c r="F29" s="47" t="n">
        <v>0.0001597778230295607</v>
      </c>
      <c r="G29" s="48" t="n">
        <v>0.003725222517466778</v>
      </c>
      <c r="H29" s="44" t="inlineStr">
        <is>
          <t>가능</t>
        </is>
      </c>
      <c r="I29" s="55" t="n"/>
      <c r="J29" s="55" t="n"/>
      <c r="K29" s="55" t="n"/>
      <c r="L29" s="55" t="n"/>
      <c r="M29" s="55" t="n"/>
      <c r="N29" s="55" t="n"/>
      <c r="O29" s="55" t="n"/>
      <c r="P29" s="55" t="n"/>
      <c r="Q29" s="55" t="n"/>
    </row>
    <row r="30"/>
    <row r="31" ht="21.9" customHeight="1">
      <c r="A31" s="50" t="inlineStr">
        <is>
          <t>선정 결과</t>
        </is>
      </c>
      <c r="B31" s="50" t="n"/>
      <c r="C31" s="50" t="n"/>
      <c r="D31" s="50" t="n"/>
      <c r="E31" s="50" t="n"/>
      <c r="F31" s="50" t="n"/>
      <c r="G31" s="50" t="n"/>
      <c r="H31" s="50" t="n"/>
      <c r="I31" s="50" t="n"/>
      <c r="J31" s="50" t="n"/>
      <c r="K31" s="50" t="n"/>
      <c r="L31" s="50" t="n"/>
      <c r="M31" s="50" t="n"/>
      <c r="N31" s="50" t="n"/>
      <c r="O31" s="50" t="n"/>
      <c r="P31" s="50" t="n"/>
      <c r="Q31" s="50" t="n"/>
    </row>
    <row r="32" ht="18.9" customHeight="1">
      <c r="A32" s="20" t="inlineStr">
        <is>
          <t>Top 1</t>
        </is>
      </c>
      <c r="B32" s="24" t="inlineStr">
        <is>
          <t>DB손해보험</t>
        </is>
      </c>
      <c r="C32" s="21" t="inlineStr">
        <is>
          <t>2026E ROE 15.90%, PER 6.80x, PBR 0.90x로 수익성과 밸류에이션의 균형이 가장 우수하다.
손해보험업의 안정적인 보험손익과 장기보험 수익성을 고려할 때, 내수·디펜시브 포트폴리오의 핵심 종목으로 판단한다.</t>
        </is>
      </c>
      <c r="D32" s="52" t="n"/>
      <c r="E32" s="52" t="n"/>
      <c r="F32" s="52" t="n"/>
      <c r="G32" s="52" t="n"/>
      <c r="H32" s="52" t="n"/>
      <c r="I32" s="52" t="n"/>
      <c r="J32" s="52" t="n"/>
      <c r="K32" s="52" t="n"/>
      <c r="L32" s="52" t="n"/>
      <c r="M32" s="52" t="n"/>
      <c r="N32" s="52" t="n"/>
      <c r="O32" s="52" t="n"/>
      <c r="P32" s="52" t="n"/>
      <c r="Q32" s="25" t="n"/>
    </row>
    <row r="33" ht="18.9" customHeight="1">
      <c r="A33" s="20" t="inlineStr">
        <is>
          <t>Top 2</t>
        </is>
      </c>
      <c r="B33" s="24" t="inlineStr">
        <is>
          <t>삼성생명</t>
        </is>
      </c>
      <c r="C33" s="21" t="inlineStr">
        <is>
          <t>2026E ROE 7.13%로 수익성은 높지 않지만, 대형 생명보험사 중 최고 수준의 자본력과 브랜드 경쟁력을 보유했다.
보장성보험·연금보험·퇴직연금 중심의 안정적인 사업구조가 내수·디펜시브 전략과 부합한다</t>
        </is>
      </c>
      <c r="D33" s="52" t="n"/>
      <c r="E33" s="52" t="n"/>
      <c r="F33" s="52" t="n"/>
      <c r="G33" s="52" t="n"/>
      <c r="H33" s="52" t="n"/>
      <c r="I33" s="52" t="n"/>
      <c r="J33" s="52" t="n"/>
      <c r="K33" s="52" t="n"/>
      <c r="L33" s="52" t="n"/>
      <c r="M33" s="52" t="n"/>
      <c r="N33" s="52" t="n"/>
      <c r="O33" s="52" t="n"/>
      <c r="P33" s="52" t="n"/>
      <c r="Q33" s="25" t="n"/>
    </row>
    <row r="34" ht="18.9" customHeight="1">
      <c r="A34" s="20" t="inlineStr">
        <is>
          <t>Top 3</t>
        </is>
      </c>
      <c r="B34" s="24" t="inlineStr">
        <is>
          <t>한국금융지주</t>
        </is>
      </c>
      <c r="C34" s="21" t="inlineStr">
        <is>
          <t>2026E ROE 23.10%, PER 3.80x, PBR 0.80x로 수익성 대비 밸류에이션이 낮다.
증권 외에도 자산운용·저축은행·벤처투자 사업을 보유해 사업 포트폴리오가 다변화되어 있다.</t>
        </is>
      </c>
      <c r="D34" s="52" t="n"/>
      <c r="E34" s="52" t="n"/>
      <c r="F34" s="52" t="n"/>
      <c r="G34" s="52" t="n"/>
      <c r="H34" s="52" t="n"/>
      <c r="I34" s="52" t="n"/>
      <c r="J34" s="52" t="n"/>
      <c r="K34" s="52" t="n"/>
      <c r="L34" s="52" t="n"/>
      <c r="M34" s="52" t="n"/>
      <c r="N34" s="52" t="n"/>
      <c r="O34" s="52" t="n"/>
      <c r="P34" s="52" t="n"/>
      <c r="Q34" s="25" t="n"/>
    </row>
    <row r="35" ht="18.9" customHeight="1">
      <c r="A35" s="20" t="inlineStr">
        <is>
          <t>탈락 1</t>
        </is>
      </c>
      <c r="B35" s="24" t="inlineStr">
        <is>
          <t>삼성화재</t>
        </is>
      </c>
      <c r="C35" s="21" t="inlineStr">
        <is>
          <t>2026E ROE는 12.04%로 양호하지만 PER 14.50x로 DB손해보험의 6.80x보다 높다.
높은 시장 지위와 안정성은 긍정적이나, 브랜드 프리미엄과 우수한 보험손익이 현재 주가에 상당 부분 반영된 것으로 판단한다.</t>
        </is>
      </c>
      <c r="D35" s="52" t="n"/>
      <c r="E35" s="52" t="n"/>
      <c r="F35" s="52" t="n"/>
      <c r="G35" s="52" t="n"/>
      <c r="H35" s="52" t="n"/>
      <c r="I35" s="52" t="n"/>
      <c r="J35" s="52" t="n"/>
      <c r="K35" s="52" t="n"/>
      <c r="L35" s="52" t="n"/>
      <c r="M35" s="52" t="n"/>
      <c r="N35" s="52" t="n"/>
      <c r="O35" s="52" t="n"/>
      <c r="P35" s="52" t="n"/>
      <c r="Q35" s="25" t="n"/>
    </row>
    <row r="36" ht="18.9" customHeight="1">
      <c r="A36" s="20" t="inlineStr">
        <is>
          <t>탈락 2</t>
        </is>
      </c>
      <c r="B36" s="24" t="inlineStr">
        <is>
          <t>메리츠금융지주</t>
        </is>
      </c>
      <c r="C36" s="21" t="inlineStr">
        <is>
          <t>2026E ROE는 22.49%로 우수하지만 PBR이 1.92x로 높고 매출 CAGR은 -5.50%다.
수익성은 뛰어나지만 밸류에이션 부담과 외형 성장성 부족을 고려해 제외한다.</t>
        </is>
      </c>
      <c r="D36" s="52" t="n"/>
      <c r="E36" s="52" t="n"/>
      <c r="F36" s="52" t="n"/>
      <c r="G36" s="52" t="n"/>
      <c r="H36" s="52" t="n"/>
      <c r="I36" s="52" t="n"/>
      <c r="J36" s="52" t="n"/>
      <c r="K36" s="52" t="n"/>
      <c r="L36" s="52" t="n"/>
      <c r="M36" s="52" t="n"/>
      <c r="N36" s="52" t="n"/>
      <c r="O36" s="52" t="n"/>
      <c r="P36" s="52" t="n"/>
      <c r="Q36" s="25" t="n"/>
    </row>
    <row r="37" ht="18.9" customHeight="1">
      <c r="A37" s="20" t="inlineStr">
        <is>
          <t>탈락 3</t>
        </is>
      </c>
      <c r="B37" s="24" t="inlineStr">
        <is>
          <t>삼성카드</t>
        </is>
      </c>
      <c r="C37" s="21" t="inlineStr">
        <is>
          <t>2026E 영업이익률은 16.76%로 높지만 ROE는 6.50%에 그치고 PER은 10.00x다.
높은 이익률에 비해 자본효율성이 낮으며, DB손해보험·한국금융지주보다 성장성과 수익성의 조합이 약하다.</t>
        </is>
      </c>
      <c r="D37" s="52" t="n"/>
      <c r="E37" s="52" t="n"/>
      <c r="F37" s="52" t="n"/>
      <c r="G37" s="52" t="n"/>
      <c r="H37" s="52" t="n"/>
      <c r="I37" s="52" t="n"/>
      <c r="J37" s="52" t="n"/>
      <c r="K37" s="52" t="n"/>
      <c r="L37" s="52" t="n"/>
      <c r="M37" s="52" t="n"/>
      <c r="N37" s="52" t="n"/>
      <c r="O37" s="52" t="n"/>
      <c r="P37" s="52" t="n"/>
      <c r="Q37" s="25" t="n"/>
    </row>
    <row r="38" ht="18.9" customHeight="1">
      <c r="A38" s="20" t="inlineStr">
        <is>
          <t>탈락 4</t>
        </is>
      </c>
      <c r="B38" s="24" t="inlineStr">
        <is>
          <t>한화생명</t>
        </is>
      </c>
      <c r="C38" s="55" t="inlineStr">
        <is>
          <t>2026E PER 3.24x, PBR 0.35x로 저평가되어 있지만 ROE는 6.20%로 낮다.
낮은 밸류에이션이 자본효율성 부족을 반영하고 있어 삼성생명보다 우선 선정할 근거가 부족하다.</t>
        </is>
      </c>
      <c r="D38" s="56" t="n"/>
      <c r="E38" s="56" t="n"/>
      <c r="F38" s="56" t="n"/>
      <c r="G38" s="56" t="n"/>
      <c r="H38" s="56" t="n"/>
      <c r="I38" s="56" t="n"/>
      <c r="J38" s="56" t="n"/>
      <c r="K38" s="56" t="n"/>
      <c r="L38" s="56" t="n"/>
      <c r="M38" s="56" t="n"/>
      <c r="N38" s="56" t="n"/>
      <c r="O38" s="56" t="n"/>
      <c r="P38" s="56" t="n"/>
      <c r="Q38" s="57" t="n"/>
    </row>
    <row r="39" ht="18.9" customHeight="1">
      <c r="A39" s="53" t="inlineStr">
        <is>
          <t>탈락 5</t>
        </is>
      </c>
      <c r="B39" s="54" t="inlineStr">
        <is>
          <t>현대해상</t>
        </is>
      </c>
      <c r="C39" s="58" t="inlineStr">
        <is>
          <t>13.80%, PER 6.80x, PBR 1.00x로 지표는 양호하지만 DB손해보험보다 PER·PBR 매력이 낮다. 손해보험업 내 수익성과 밸류에이션 모두 DB손해보험을 앞서지 못해 최종 선정에서 제외한다.</t>
        </is>
      </c>
    </row>
  </sheetData>
  <mergeCells count="15">
    <mergeCell ref="E4:F4"/>
    <mergeCell ref="C33:Q33"/>
    <mergeCell ref="C32:Q32"/>
    <mergeCell ref="C38:Q38"/>
    <mergeCell ref="B4:C4"/>
    <mergeCell ref="B5:C5"/>
    <mergeCell ref="C36:Q36"/>
    <mergeCell ref="A7:Q7"/>
    <mergeCell ref="E5:F5"/>
    <mergeCell ref="K5:L5"/>
    <mergeCell ref="H5:I5"/>
    <mergeCell ref="C37:Q37"/>
    <mergeCell ref="H4:I4"/>
    <mergeCell ref="C35:Q35"/>
    <mergeCell ref="C34:Q34"/>
  </mergeCells>
  <dataValidations count="1">
    <dataValidation sqref="Q11:Q29" showDropDown="0" showInputMessage="0" showErrorMessage="0" allowBlank="1" type="list">
      <formula1>"Top1,Top2,Top3,보류,탈락"</formula1>
    </dataValidation>
  </dataValidations>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Q29"/>
  <sheetViews>
    <sheetView showGridLines="0" zoomScale="55" workbookViewId="0">
      <pane xSplit="1" ySplit="10" topLeftCell="B11" activePane="bottomRight" state="frozen"/>
      <selection pane="topRight"/>
      <selection pane="bottomLeft"/>
      <selection pane="bottomRight" activeCell="A1" sqref="A1"/>
    </sheetView>
  </sheetViews>
  <sheetFormatPr baseColWidth="8" defaultRowHeight="15"/>
  <cols>
    <col width="34.09765625" customWidth="1" min="1" max="1"/>
    <col width="16" customWidth="1" min="2" max="2"/>
    <col width="8" customWidth="1" min="3" max="3"/>
    <col width="10" customWidth="1" min="4" max="4"/>
    <col width="11" customWidth="1" min="5" max="5"/>
    <col width="10" customWidth="1" min="6" max="6"/>
    <col width="11" customWidth="1" min="7" max="7"/>
    <col width="10" customWidth="1" min="8" max="8"/>
    <col width="15.69921875" customWidth="1" min="9" max="9"/>
    <col width="10" customWidth="1" min="10" max="10"/>
    <col width="9" customWidth="1" min="11" max="11"/>
    <col width="11" customWidth="1" min="12" max="12"/>
    <col width="49" customWidth="1" min="13" max="13"/>
    <col width="26" customWidth="1" min="14" max="14"/>
    <col width="34" customWidth="1" min="15" max="15"/>
    <col width="18" customWidth="1" min="16" max="16"/>
    <col width="35.8984375" customWidth="1" min="17" max="17"/>
  </cols>
  <sheetData>
    <row r="1" ht="22.05" customHeight="1">
      <c r="A1" s="17" t="inlineStr">
        <is>
          <t>금융 — 은행·지주</t>
        </is>
      </c>
    </row>
    <row r="2">
      <c r="A2" s="18" t="inlineStr">
        <is>
          <t>ICOK Fund 26-2  ·  담당 산업 스크리닝</t>
        </is>
      </c>
    </row>
    <row r="3" ht="3" customHeight="1">
      <c r="A3" s="19" t="n"/>
      <c r="B3" s="19" t="n"/>
      <c r="C3" s="19" t="n"/>
      <c r="D3" s="19" t="n"/>
      <c r="E3" s="19" t="n"/>
      <c r="F3" s="19" t="n"/>
      <c r="G3" s="19" t="n"/>
      <c r="H3" s="19" t="n"/>
      <c r="I3" s="19" t="n"/>
      <c r="J3" s="19" t="n"/>
      <c r="K3" s="19" t="n"/>
      <c r="L3" s="19" t="n"/>
      <c r="M3" s="19" t="n"/>
      <c r="N3" s="19" t="n"/>
      <c r="O3" s="19" t="n"/>
      <c r="P3" s="19" t="n"/>
      <c r="Q3" s="19" t="n"/>
    </row>
    <row r="4" ht="16.95" customHeight="1">
      <c r="A4" s="20" t="inlineStr">
        <is>
          <t>팀</t>
        </is>
      </c>
      <c r="B4" s="24" t="inlineStr">
        <is>
          <t>팀 3 · 내수·디펜시브</t>
        </is>
      </c>
      <c r="C4" s="25" t="n"/>
      <c r="D4" s="20" t="inlineStr">
        <is>
          <t>담당자</t>
        </is>
      </c>
      <c r="E4" s="24" t="inlineStr">
        <is>
          <t>고낭균</t>
        </is>
      </c>
      <c r="F4" s="25" t="n"/>
      <c r="G4" s="20" t="inlineStr">
        <is>
          <t>제출일</t>
        </is>
      </c>
      <c r="H4" s="26" t="n">
        <v>46281</v>
      </c>
      <c r="I4" s="25" t="n"/>
    </row>
    <row r="5" ht="16.95" customHeight="1">
      <c r="A5" s="20" t="inlineStr">
        <is>
          <t>지수 비중</t>
        </is>
      </c>
      <c r="B5" s="24" t="inlineStr">
        <is>
          <t>4.12%</t>
        </is>
      </c>
      <c r="C5" s="25" t="n"/>
      <c r="D5" s="20" t="inlineStr">
        <is>
          <t>배정액</t>
        </is>
      </c>
      <c r="E5" s="24" t="inlineStr">
        <is>
          <t>1,152,566원</t>
        </is>
      </c>
      <c r="F5" s="25" t="n"/>
      <c r="G5" s="20" t="inlineStr">
        <is>
          <t>종목 수</t>
        </is>
      </c>
      <c r="H5" s="24" t="inlineStr">
        <is>
          <t>9</t>
        </is>
      </c>
      <c r="I5" s="25" t="n"/>
      <c r="J5" s="20" t="inlineStr">
        <is>
          <t>기준일</t>
        </is>
      </c>
      <c r="K5" s="24" t="inlineStr">
        <is>
          <t>2026-09-15</t>
        </is>
      </c>
      <c r="L5" s="25" t="n"/>
    </row>
    <row r="6"/>
    <row r="7" ht="15" customHeight="1">
      <c r="A7" s="27" t="inlineStr">
        <is>
          <t>매출·영업이익률 대신 NIM·대손비용률·CET1·주주환원율을 사용한다. 밸류에이션은 PBR-ROE 기준.</t>
        </is>
      </c>
    </row>
    <row r="8">
      <c r="A8" s="18" t="inlineStr">
        <is>
          <t>음영 셀은 기입 완료. 흰색 셀만 작성한다.</t>
        </is>
      </c>
    </row>
    <row r="9"/>
    <row r="10" ht="25.95" customHeight="1">
      <c r="A10" s="28" t="inlineStr">
        <is>
          <t>하위 테마</t>
        </is>
      </c>
      <c r="B10" s="28" t="inlineStr">
        <is>
          <t>기업명</t>
        </is>
      </c>
      <c r="C10" s="28" t="inlineStr">
        <is>
          <t>코드</t>
        </is>
      </c>
      <c r="D10" s="28" t="inlineStr">
        <is>
          <t>주가</t>
        </is>
      </c>
      <c r="E10" s="28" t="inlineStr">
        <is>
          <t>시가총액(조)</t>
        </is>
      </c>
      <c r="F10" s="28" t="inlineStr">
        <is>
          <t>지수 비중</t>
        </is>
      </c>
      <c r="G10" s="28" t="inlineStr">
        <is>
          <t>1주 / 팀예산</t>
        </is>
      </c>
      <c r="H10" s="28" t="inlineStr">
        <is>
          <t>매수 판정</t>
        </is>
      </c>
      <c r="I10" s="60" t="inlineStr">
        <is>
          <t>매출 CAGR(3Y)</t>
        </is>
      </c>
      <c r="J10" s="28" t="inlineStr">
        <is>
          <t>영업이익률</t>
        </is>
      </c>
      <c r="K10" s="28" t="inlineStr">
        <is>
          <t>ROE</t>
        </is>
      </c>
      <c r="L10" s="28" t="inlineStr">
        <is>
          <t>PER / PBR</t>
        </is>
      </c>
      <c r="M10" s="28" t="inlineStr">
        <is>
          <t>주요 제품</t>
        </is>
      </c>
      <c r="N10" s="28" t="inlineStr">
        <is>
          <t>시장 포지셔닝</t>
        </is>
      </c>
      <c r="O10" s="60" t="inlineStr">
        <is>
          <t>투자포인트 / 탈락 사유</t>
        </is>
      </c>
      <c r="P10" s="60" t="inlineStr">
        <is>
          <t>출처 · 기준일</t>
        </is>
      </c>
      <c r="Q10" s="60" t="inlineStr">
        <is>
          <t>판정</t>
        </is>
      </c>
    </row>
    <row r="11" ht="105.6" customHeight="1">
      <c r="A11" s="61" t="inlineStr">
        <is>
          <t>종합금융 / 금융지주, 은행·증권·보험·카드 등 비은행 포트폴리오 확대, 자본시장 중심 성장, 생산적 금융, 자동차·부동산·헬스케어 등 비금융 영역 확장</t>
        </is>
      </c>
      <c r="B11" s="62" t="inlineStr">
        <is>
          <t>KB금융</t>
        </is>
      </c>
      <c r="C11" s="63" t="inlineStr">
        <is>
          <t>105560</t>
        </is>
      </c>
      <c r="D11" s="64" t="n">
        <v>175800</v>
      </c>
      <c r="E11" s="65" t="n">
        <v>62.354104</v>
      </c>
      <c r="F11" s="66" t="n">
        <v>0.01170728161261072</v>
      </c>
      <c r="G11" s="67" t="n">
        <v>0.03997378274817987</v>
      </c>
      <c r="H11" s="68" t="inlineStr">
        <is>
          <t>가능</t>
        </is>
      </c>
      <c r="I11" s="69" t="n">
        <v>81263303000</v>
      </c>
      <c r="J11" s="70" t="n">
        <v>8.72213115036647</v>
      </c>
      <c r="K11" s="71" t="n">
        <v>3.170958424284604</v>
      </c>
      <c r="L11" s="72" t="inlineStr">
        <is>
          <t>9.235 / 0.885</t>
        </is>
      </c>
      <c r="M11" s="61" t="inlineStr">
        <is>
          <t>ㆍKB국민은행: 예금·대출·외환·신탁·연금·투신·방카슈랑스 등
ㆍKB증권: 투자매매·중개·자문·일임·신탁·사모펀드 등
ㆍKB손해보험: 자동차·장기·일반보험
ㆍKB국민카드: 신용·체크카드, 일반대출, 할부금융</t>
        </is>
      </c>
      <c r="N11" s="73" t="inlineStr">
        <is>
          <t>국내 최대 고객 기반을 보유한 종합금융그룹으로, 은행과 비은행의 균형 잡힌 포트폴리오를 기반으로 국내 금융산업을 선도. KB국민은행은 시중은행 수위권의 자산·대출·예수부채 규모를 유지하고 있으며, 비은행 부문과 자본시장 확대를 통해 성장 영역을 넓히는 전략</t>
        </is>
      </c>
      <c r="O11" s="74" t="inlineStr">
        <is>
          <t>국내 최대 고객 기반과 은행·증권·보험·카드의 균형 잡힌 포트폴리오가 강점. 다만 PER 9.24배, PBR 0.89배로 비교군 대비 밸류에이션 부담</t>
        </is>
      </c>
      <c r="P11" s="75" t="inlineStr">
        <is>
          <t>반기보고서 (2026.06)</t>
        </is>
      </c>
      <c r="Q11" s="76" t="inlineStr">
        <is>
          <t>탈락</t>
        </is>
      </c>
    </row>
    <row r="12" ht="105.6" customHeight="1">
      <c r="A12" s="77" t="inlineStr">
        <is>
          <t>종합금융 / 금융지주, 은행·카드·증권·보험·캐피탈 등 다각화된 금융 포트폴리오, 자산운용·부동산·벤처투자·금융IT 등 금융 연계 사업 확장</t>
        </is>
      </c>
      <c r="B12" s="62" t="inlineStr">
        <is>
          <t>신한지주</t>
        </is>
      </c>
      <c r="C12" s="63" t="inlineStr">
        <is>
          <t>055550</t>
        </is>
      </c>
      <c r="D12" s="64" t="n">
        <v>112200</v>
      </c>
      <c r="E12" s="65" t="n">
        <v>52.672317</v>
      </c>
      <c r="F12" s="66" t="n">
        <v>0.009889479741505117</v>
      </c>
      <c r="G12" s="67" t="n">
        <v>0.02551227772665405</v>
      </c>
      <c r="H12" s="68" t="inlineStr">
        <is>
          <t>가능</t>
        </is>
      </c>
      <c r="I12" s="69" t="n">
        <v>59393035333.33334</v>
      </c>
      <c r="J12" s="78" t="n">
        <v>15.51687688813894</v>
      </c>
      <c r="K12" s="79" t="n">
        <v>2.819326136987465</v>
      </c>
      <c r="L12" s="80" t="inlineStr">
        <is>
          <t>8.465 / 0.725</t>
        </is>
      </c>
      <c r="M12" s="77" t="inlineStr">
        <is>
          <t>ㆍ신한은행·제주은행: 예금·대출
ㆍ신한카드: 신용카드·카드대출·할부금융·리스
ㆍ신한투자증권: 유가증권 매매·중개·인수
ㆍ신한라이프·신한EZ손해보험: 생명·손해보험
ㆍ신한캐피탈: 시설대여·신기술사업금융
ㆍ그 외 자산운용·저축은행·부동산신탁·REITs·벤처투자·금융IT</t>
        </is>
      </c>
      <c r="N12" s="81" t="inlineStr">
        <is>
          <t>은행을 핵심 수익원으로 하면서 비은행 사업을 폭넓게 보유한 종합금융그룹. 2026년 반기 순이익의 70.2%가 은행 부문에서 발생하며, 증권·카드·보험 등 비은행 부문이 수익원을 보완하는 구조. 다각화된 사업 포트폴리오와 위험관리 역량을 기반으로 안정적인 실적을 추구</t>
        </is>
      </c>
      <c r="O12" s="74" t="inlineStr">
        <is>
          <t>영업이익률 15.52%와 안정적인 은행 기반, 증권·카드·보험 등 균형 잡힌 사업 포트폴리오를 보유. PER 8.47배, PBR 0.73배로 수익성·안정성·밸류에이션의 균형이 우수</t>
        </is>
      </c>
      <c r="P12" s="75" t="inlineStr">
        <is>
          <t>반기보고서 (2026.06)</t>
        </is>
      </c>
      <c r="Q12" s="76" t="inlineStr">
        <is>
          <t>매수</t>
        </is>
      </c>
    </row>
    <row r="13" ht="118.8" customHeight="1">
      <c r="A13" s="61" t="inlineStr">
        <is>
          <t>종합금융 / 금융지주, 은행 중심의 안정적 수익 기반 + 증권·카드·캐피탈·보험 등 비은행 강화, 글로벌 금융, 디지털 금융, 대체투자·벤처투자 등 신성장 영역 확대</t>
        </is>
      </c>
      <c r="B13" s="62" t="inlineStr">
        <is>
          <t>하나금융지주</t>
        </is>
      </c>
      <c r="C13" s="63" t="inlineStr">
        <is>
          <t>086790</t>
        </is>
      </c>
      <c r="D13" s="64" t="n">
        <v>137600</v>
      </c>
      <c r="E13" s="65" t="n">
        <v>37.28546</v>
      </c>
      <c r="F13" s="66" t="n">
        <v>0.007000523658807328</v>
      </c>
      <c r="G13" s="67" t="n">
        <v>0.03128778444908731</v>
      </c>
      <c r="H13" s="68" t="inlineStr">
        <is>
          <t>가능</t>
        </is>
      </c>
      <c r="I13" s="69" t="n">
        <v>73417168333.33333</v>
      </c>
      <c r="J13" s="70" t="n">
        <v>5.772780703688727</v>
      </c>
      <c r="K13" s="71" t="n">
        <v>2.56798800910189</v>
      </c>
      <c r="L13" s="72" t="inlineStr">
        <is>
          <t>7.565 / 0.64</t>
        </is>
      </c>
      <c r="M13" s="61" t="inlineStr">
        <is>
          <t>ㆍ하나은행: 예·적금, 대출, 외환, 신탁, PB, 투자금융
ㆍ하나증권: WM·IB·S&amp;T
ㆍ하나카드: 신용판매·카드대출·할부금융, 원더카드·트래블로그
ㆍ하나캐피탈: 할부·리스·기업금융·렌터카
ㆍ하나생명·하나손해보험: 생명·손해보험
ㆍ그 외 저축은행, 부동산신탁, NPL, 대체투자, 벤처투자, 금융IT</t>
        </is>
      </c>
      <c r="N13" s="73" t="inlineStr">
        <is>
          <t>은행을 핵심으로 하면서 비은행·글로벌·대체투자까지 사업영역을 다변화하는 종합금융그룹. 특히 하나증권의 WM·IB·S&amp;T 균형, 하나카드의 트래블로그, 하나대체투자자산운용의 대체투자 등 계열사별 전문성을 활용해 비은행 경쟁력을 확대. 하나은행은 국내 610개·해외 114개 지점을 기반으로 글로벌 네트워크를 보유</t>
        </is>
      </c>
      <c r="O13" s="74" t="inlineStr">
        <is>
          <t>PER 7.57배, PBR 0.64배로 대형 금융지주 중 밸류에이션 매력이 높음. 은행 기반에 비은행·글로벌·대체투자를 확대하고 있어 저평가 + 성장성을 동시에 기대</t>
        </is>
      </c>
      <c r="P13" s="75" t="inlineStr">
        <is>
          <t>반기보고서 (2026.06)</t>
        </is>
      </c>
      <c r="Q13" s="76" t="inlineStr">
        <is>
          <t>메수</t>
        </is>
      </c>
    </row>
    <row r="14" ht="118.8" customHeight="1">
      <c r="A14" s="77" t="inlineStr">
        <is>
          <t>종합금융 / 금융지주, 은행 중심에서 증권·보험·자산운용 등 비은행 강화, 기업금융·생산적 금융, 자본시장, 디지털·AI 금융</t>
        </is>
      </c>
      <c r="B14" s="62" t="inlineStr">
        <is>
          <t>우리금융지주</t>
        </is>
      </c>
      <c r="C14" s="63" t="inlineStr">
        <is>
          <t>316140</t>
        </is>
      </c>
      <c r="D14" s="64" t="n">
        <v>36350</v>
      </c>
      <c r="E14" s="65" t="n">
        <v>26.782191</v>
      </c>
      <c r="F14" s="66" t="n">
        <v>0.005028484608482682</v>
      </c>
      <c r="G14" s="67" t="n">
        <v>0.008265341313403517</v>
      </c>
      <c r="H14" s="68" t="inlineStr">
        <is>
          <t>가능</t>
        </is>
      </c>
      <c r="I14" s="69" t="n">
        <v>43383792000</v>
      </c>
      <c r="J14" s="78" t="n">
        <v>7.48635567513394</v>
      </c>
      <c r="K14" s="79" t="n">
        <v>2.062121778316515</v>
      </c>
      <c r="L14" s="80" t="inlineStr">
        <is>
          <t>7.155 / 0.58</t>
        </is>
      </c>
      <c r="M14" s="77" t="inlineStr">
        <is>
          <t>ㆍ우리은행: 예금·대출 등 은행업
ㆍ우리투자증권: 증권·자본시장
ㆍ동양생명·ABL생명: 생명보험
ㆍ우리카드: 카드·금융
ㆍ우리금융캐피탈: 여신전문금융
ㆍ우리벤처파트너스·우리프라이빗에퀴티자산운용: 벤처·PE 투자</t>
        </is>
      </c>
      <c r="N14" s="81" t="inlineStr">
        <is>
          <t>은행 중심에서 증권·보험을 확보하며 종합금융그룹으로 전환한 후발주자. 2024년 우리투자증권 출범, 2025년 동양생명·ABL생명 편입을 통해 비은행 포트폴리오를 빠르게 확장. 기업금융·생산적 금융을 핵심 성장축으로 삼는 동시에 비은행 부문 기여도를 높여 은행 의존도를 낮추고 ROE를 개선하는 전략</t>
        </is>
      </c>
      <c r="O14" s="74" t="inlineStr">
        <is>
          <t>PER 7.16배, PBR 0.58배로 저평가 매력이 높고 증권·보험 편입을 통한 비은행 확대 가능성이 있음. 그러나 ROE 2.06%로 비교군 대비 낮아 수익성 개선 확인이 필요</t>
        </is>
      </c>
      <c r="P14" s="75" t="inlineStr">
        <is>
          <t>반기보고서 (2026.06)</t>
        </is>
      </c>
      <c r="Q14" s="76" t="inlineStr">
        <is>
          <t>탈락</t>
        </is>
      </c>
    </row>
    <row r="15" ht="118.8" customHeight="1">
      <c r="A15" s="61" t="inlineStr">
        <is>
          <t>중소기업 금융 / 정책금융 / 종합금융. 중소기업·소상공인 금융을 핵심으로 하면서 증권·캐피탈 등 비은행, 해외금융, 생산적 금융까지 확장</t>
        </is>
      </c>
      <c r="B15" s="62" t="inlineStr">
        <is>
          <t>기업은행</t>
        </is>
      </c>
      <c r="C15" s="63" t="inlineStr">
        <is>
          <t>024110</t>
        </is>
      </c>
      <c r="D15" s="64" t="n">
        <v>20350</v>
      </c>
      <c r="E15" s="65" t="n">
        <v>16.227616</v>
      </c>
      <c r="F15" s="66" t="n">
        <v>0.003046812610975976</v>
      </c>
      <c r="G15" s="67" t="n">
        <v>0.004627226842579411</v>
      </c>
      <c r="H15" s="68" t="inlineStr">
        <is>
          <t>가능</t>
        </is>
      </c>
      <c r="I15" s="69" t="n">
        <v>30090364000</v>
      </c>
      <c r="J15" s="70" t="n">
        <v>9.801667799890962</v>
      </c>
      <c r="K15" s="71" t="n">
        <v>1.920468751647064</v>
      </c>
      <c r="L15" s="72" t="inlineStr">
        <is>
          <t>6.215 / 0.44</t>
        </is>
      </c>
      <c r="M15" s="61" t="inlineStr">
        <is>
          <t>ㆍ기업은행: 예금·적금, 기업대출, 어음할인, 외환, 파생상품, 유가증권, 투자자문, 신탁, 보험대리, 퇴직연금, 신용카드 등
ㆍIBK캐피탈·IBK투자증권 등: 여신·캐피탈 및 증권업
ㆍ해외법인·지점: 중국·인도네시아·미얀마·폴란드 등 해외 금융</t>
        </is>
      </c>
      <c r="N15" s="73" t="inlineStr">
        <is>
          <t>중소기업 금융시장 특화 리딩뱅크. 2026년 6월 기준 중소기업대출 잔액 270.0조원, 시장점유율 24.6%로 중소기업 금융시장을 선도. 단순 대출 공급을 넘어 기술력·성장가능성을 반영한 여신, 모험자본, 성장단계별 지원, ESG 지원 등을 통해 중소기업의 성장 파트너이자 정책금융·생산적 금융의 핵심 역할을 지향</t>
        </is>
      </c>
      <c r="O15" s="82" t="inlineStr">
        <is>
          <t>중소기업대출 시장점유율 24.6%의 확고한 시장지위와 PER 6.22배, PBR 0.44배의 저평가가 강점. 다만 정책금융기관 특성상 성장성과 재평가 폭에 한계</t>
        </is>
      </c>
      <c r="P15" s="75" t="inlineStr">
        <is>
          <t>반기보고서 (2026.06)</t>
        </is>
      </c>
      <c r="Q15" s="76" t="inlineStr">
        <is>
          <t>탈락</t>
        </is>
      </c>
    </row>
    <row r="16" ht="156.6" customHeight="1">
      <c r="A16" s="77" t="inlineStr">
        <is>
          <t>인터넷전문은행 / 디지털 금융 / 금융 플랫폼. 비대면·모바일 중심의 은행업을 기반으로 금융과 생활 영역을 연결하는 플랫폼 사업으로 확장</t>
        </is>
      </c>
      <c r="B16" s="62" t="inlineStr">
        <is>
          <t>카카오뱅크</t>
        </is>
      </c>
      <c r="C16" s="63" t="inlineStr">
        <is>
          <t>323410</t>
        </is>
      </c>
      <c r="D16" s="64" t="n">
        <v>21150</v>
      </c>
      <c r="E16" s="65" t="n">
        <v>10.091097</v>
      </c>
      <c r="F16" s="66" t="n">
        <v>0.001894651783612691</v>
      </c>
      <c r="G16" s="67" t="n">
        <v>0.004809132566120616</v>
      </c>
      <c r="H16" s="68" t="inlineStr">
        <is>
          <t>가능</t>
        </is>
      </c>
      <c r="I16" s="69" t="n">
        <v>2841985666.666667</v>
      </c>
      <c r="J16" s="78" t="n">
        <v>21.33031530361897</v>
      </c>
      <c r="K16" s="79" t="n">
        <v>2.466410227608836</v>
      </c>
      <c r="L16" s="80" t="inlineStr">
        <is>
          <t>19.93 / 1.605</t>
        </is>
      </c>
      <c r="M16" s="77" t="inlineStr">
        <is>
          <t>ㆍ뱅킹 비즈니스: 예금·적금, 대출 등 기본 여수신 상품 및 은행 금융서비스
ㆍ플랫폼 비즈니스: 모바일 앱 기반 금융서비스, 금융·생활 영역의 다양한 제휴 서비스</t>
        </is>
      </c>
      <c r="N16" s="81" t="inlineStr">
        <is>
          <t>모바일 기반 디지털 금융 혁신 플랫폼. 오프라인 점포 없이 100% 모바일 UX와 IT 기술을 활용해 비용 효율성과 고객 편의성을 동시에 추구하며, 기존 은행과 차별화된 사용자 경험과 상품·혜택을 제공. 금융업을 넘어 비금융 파트너와의 제휴를 통해 금융+생활 플랫폼으로 확장하는 전략</t>
        </is>
      </c>
      <c r="O16" s="74" t="inlineStr">
        <is>
          <t>영업이익률 21.33%와 디지털 금융 플랫폼으로서의 성장성은 강점이나 PER 19.93배, PBR 1.61배로 금융주 중 밸류에이션 부담이 가장 높음. 또한 카카오AI·카카오X 사업부 분할에 따른 사업구조 변화 및 불확실성이 존재하며, 카카오AI에 대한 성장 기대가 카카오 계열 전반의 가치에 반영되면서 현재 주가가 AI 성장성을 선반영해 고평가되었을 가능성도 고려할 필요</t>
        </is>
      </c>
      <c r="P16" s="75" t="inlineStr">
        <is>
          <t>반기보고서 (2026.06)</t>
        </is>
      </c>
      <c r="Q16" s="76" t="inlineStr">
        <is>
          <t>탈락</t>
        </is>
      </c>
    </row>
    <row r="17" ht="132" customHeight="1">
      <c r="A17" s="61" t="inlineStr">
        <is>
          <t>종합금융 / 지방금융 / 은행·캐피탈 중심 금융지주. 전북은행·광주은행을 기반으로 캐피탈·자산운용·신기술금융 및 동남아 금융으로 사업 다각화</t>
        </is>
      </c>
      <c r="B17" s="62" t="inlineStr">
        <is>
          <t>JB금융지주</t>
        </is>
      </c>
      <c r="C17" s="63" t="inlineStr">
        <is>
          <t>175330</t>
        </is>
      </c>
      <c r="D17" s="64" t="n">
        <v>32200</v>
      </c>
      <c r="E17" s="65" t="n">
        <v>6.006003</v>
      </c>
      <c r="F17" s="66" t="n">
        <v>0.001127655823379081</v>
      </c>
      <c r="G17" s="67" t="n">
        <v>0.007321705372533515</v>
      </c>
      <c r="H17" s="68" t="inlineStr">
        <is>
          <t>가능</t>
        </is>
      </c>
      <c r="I17" s="69" t="n">
        <v>4482707000</v>
      </c>
      <c r="J17" s="70" t="n">
        <v>21.25037607751754</v>
      </c>
      <c r="K17" s="71" t="n">
        <v>3.189593957213917</v>
      </c>
      <c r="L17" s="72" t="inlineStr">
        <is>
          <t>7.225 / 0.845</t>
        </is>
      </c>
      <c r="M17" s="61" t="inlineStr">
        <is>
          <t>ㆍ전북은행·광주은행: 은행업
ㆍJB우리캐피탈: 여신전문금융
ㆍJB자산운용: 집합투자·자산운용
ㆍJB인베스트먼트: 신기술사업금융
ㆍPPCBank: 캄보디아 은행
ㆍJB PPAM: 캄보디아 자산운용
ㆍJB Capital Myanmar: 미얀마 소액대출
ㆍJB Securities Vietnam: 베트남 증권</t>
        </is>
      </c>
      <c r="N17" s="73" t="inlineStr">
        <is>
          <t>서남권 대표 종합금융그룹이자 고수익성 강소 금융그룹. 전북은행·광주은행의 지역 기반에 JB우리캐피탈을 결합해 수익원을 다각화하고 있으며, 특히 JB우리캐피탈이 그룹 실적을 견인. 국내 지역금융을 기반으로 캄보디아·미얀마·베트남 등 해외 금융사업도 운영. 규모 확대보다는 경영체질 개선·비용 효율화·리스크 관리·높은 수익성을 통한 차별화를 추구</t>
        </is>
      </c>
      <c r="O17" s="74" t="inlineStr">
        <is>
          <t>ROE 3.19%, 영업이익률 21.25%로 높은 수익성을 보유하면서 PER 7.23배, PBR 0.85배로 평가. 수익성 대비 밸류에이션 매력이 가장 뚜렷함</t>
        </is>
      </c>
      <c r="P17" s="75" t="inlineStr">
        <is>
          <t>반기보고서 (2026.06)</t>
        </is>
      </c>
      <c r="Q17" s="76" t="inlineStr">
        <is>
          <t>매수</t>
        </is>
      </c>
    </row>
    <row r="18" ht="145.2" customHeight="1">
      <c r="A18" s="77" t="inlineStr">
        <is>
          <t>지방금융 / 종합금융 / 지역밀착 금융 / 디지털·생산적 금융. 부산·경남 지역은행을 기반으로 캐피탈·증권·저축은행·자산운용·벤처투자 등으로 사업 다각화하고, 지역특화산업·AI·디지털·글로벌 금융으로 확장</t>
        </is>
      </c>
      <c r="B18" s="62" t="inlineStr">
        <is>
          <t>BNK금융지주</t>
        </is>
      </c>
      <c r="C18" s="63" t="inlineStr">
        <is>
          <t>138930</t>
        </is>
      </c>
      <c r="D18" s="64" t="n">
        <v>16040</v>
      </c>
      <c r="E18" s="65" t="n">
        <v>4.92171</v>
      </c>
      <c r="F18" s="66" t="n">
        <v>0.0009240746204227764</v>
      </c>
      <c r="G18" s="67" t="n">
        <v>0.003647209757001167</v>
      </c>
      <c r="H18" s="68" t="inlineStr">
        <is>
          <t>가능</t>
        </is>
      </c>
      <c r="I18" s="69" t="n">
        <v>9949371690.713335</v>
      </c>
      <c r="J18" s="78" t="n">
        <v>7.422498719537747</v>
      </c>
      <c r="K18" s="79" t="n">
        <v>1.860636018403148</v>
      </c>
      <c r="L18" s="80" t="inlineStr">
        <is>
          <t>6.825 / 0.495</t>
        </is>
      </c>
      <c r="M18" s="77" t="inlineStr">
        <is>
          <t>ㆍ부산은행·경남은행: 은행업
ㆍBNK캐피탈: 여신전문금융
ㆍBNK투자증권: 금융투자
ㆍBNK저축은행: 저축은행
ㆍBNK자산운용: 자산운용
ㆍBNK벤처투자: 창업·벤처투자
ㆍ이외 신용조사·추심대행, 시스템 공급·개발 등</t>
        </is>
      </c>
      <c r="N18" s="81" t="inlineStr">
        <is>
          <t>부산·경남을 중심으로 한 국내 대표 지역 종합금융그룹. 383개 국내 점포와 66개 해외 거점을 기반으로 지역금융에서 글로벌 금융으로 확장. 은행부문 경쟁력을 유지하면서 비은행·비이자 수익을 확대하고 있으며, 특히 지역특화산업 지원 + 생산적 금융 + AI·디지털금융을 차별화된 성장축으로 설정. 장기적으로 수도권·글로벌 사업과 신사업을 확대해 지역금융그룹의 성장 한계를 보완하려는 전략</t>
        </is>
      </c>
      <c r="O18" s="74" t="inlineStr">
        <is>
          <t>PER 6.83배, PBR 0.50배로 저평가 매력이 있으나 ROE 1.86%로 낮음. 낮은 밸류에이션이 저평가보다는 수익성에 대한 할인일 가능성이 존재</t>
        </is>
      </c>
      <c r="P18" s="75" t="inlineStr">
        <is>
          <t>반기보고서 (2026.06)</t>
        </is>
      </c>
      <c r="Q18" s="76" t="inlineStr">
        <is>
          <t>탈락</t>
        </is>
      </c>
    </row>
    <row r="19" ht="132.6" customHeight="1">
      <c r="A19" s="83" t="inlineStr">
        <is>
          <t>지방금융 → 전국 종합금융 / 하이브리드 금융 / 디지털·글로벌 금융. 은행을 중심으로 증권·보험·캐피탈·자산운용·핀테크 등 금융 전 영역으로 다각화하고 수도권·해외로 사업 확장</t>
        </is>
      </c>
      <c r="B19" s="84" t="inlineStr">
        <is>
          <t>iM금융지주</t>
        </is>
      </c>
      <c r="C19" s="85" t="inlineStr">
        <is>
          <t>139130</t>
        </is>
      </c>
      <c r="D19" s="86" t="n">
        <v>18300</v>
      </c>
      <c r="E19" s="87" t="n">
        <v>2.89805</v>
      </c>
      <c r="F19" s="88" t="n">
        <v>0.0005441227649975775</v>
      </c>
      <c r="G19" s="89" t="n">
        <v>0.004161093426005072</v>
      </c>
      <c r="H19" s="90" t="inlineStr">
        <is>
          <t>가능</t>
        </is>
      </c>
      <c r="I19" s="91" t="n">
        <v>7967627540.476666</v>
      </c>
      <c r="J19" s="92" t="n">
        <v>5.002764622448734</v>
      </c>
      <c r="K19" s="93" t="n">
        <v>2.326078564411959</v>
      </c>
      <c r="L19" s="94" t="inlineStr">
        <is>
          <t>6.22 / 0.425</t>
        </is>
      </c>
      <c r="M19" s="83" t="inlineStr">
        <is>
          <t>ㆍiM뱅크: 예·적금, 대출, 지급결제, 외환, 신탁, 카드, WM, CIB, 디지털금융
ㆍiM증권: 리테일·브로커리지, 홀세일, IB, 자산운용, PI, 퇴직연금, 신탁, 랩, 리서치
ㆍiM라이프생명보험: 생명보험
ㆍiM캐피탈: 리스·할부금융·대출·렌탈
ㆍiM에셋자산운용: 주식·채권·대체투자 및 투자자문·일임
ㆍ그 외 유페이·데이터시스템·신용정보·투자파트너스·뉴지스탁 및 동남아 금융사업</t>
        </is>
      </c>
      <c r="N19" s="95" t="inlineStr">
        <is>
          <t>지역은행에서 전국 단위 종합금융그룹으로 전환 중인 하이브리드 금융그룹. iM뱅크의 시중은행 전환을 기반으로 수도권 등 전국 영업망을 확대하고, 디지털 플랫폼과 오프라인 채널을 결합한 하이브리드 금융을 차별화 전략으로 추진. 동시에 증권·보험·캐피탈·자산운용 등 계열사 간 시너지를 강화하고 캄보디아·미얀마·라오스 등 해외시장으로 성장 기반을 확대</t>
        </is>
      </c>
      <c r="O19" s="82" t="inlineStr">
        <is>
          <t>PER 6.22배, PBR 0.43배로 저평가되어 있으나 영업이익률 5.00%로 수익성이 비교군 대비 낮음. 시중은행 전환 및 전국화 전략의 성과가 아직 충분히 검증되지 않음</t>
        </is>
      </c>
      <c r="P19" s="75" t="inlineStr">
        <is>
          <t>반기보고서 (2026.06)</t>
        </is>
      </c>
      <c r="Q19" s="96" t="inlineStr">
        <is>
          <t>탈락</t>
        </is>
      </c>
    </row>
    <row r="20" ht="18" customHeight="1"/>
    <row r="21" ht="22.05" customHeight="1">
      <c r="A21" s="50" t="inlineStr">
        <is>
          <t>선정 결과</t>
        </is>
      </c>
      <c r="B21" s="50" t="n"/>
      <c r="C21" s="50" t="n"/>
      <c r="D21" s="50" t="n"/>
      <c r="E21" s="50" t="n"/>
      <c r="F21" s="50" t="n"/>
      <c r="G21" s="50" t="n"/>
      <c r="H21" s="50" t="n"/>
      <c r="I21" s="50" t="n"/>
      <c r="J21" s="50" t="n"/>
      <c r="K21" s="50" t="n"/>
      <c r="L21" s="50" t="n"/>
      <c r="M21" s="50" t="n"/>
      <c r="N21" s="50" t="n"/>
      <c r="O21" s="50" t="n"/>
      <c r="P21" s="50" t="n"/>
      <c r="Q21" s="50" t="n"/>
    </row>
    <row r="22" ht="19.05" customHeight="1">
      <c r="A22" s="20" t="inlineStr">
        <is>
          <t>Top 1</t>
        </is>
      </c>
      <c r="B22" s="24" t="inlineStr">
        <is>
          <t>하나금융지주</t>
        </is>
      </c>
      <c r="C22" s="97" t="inlineStr">
        <is>
          <t>시장에서 대형 금융지주의 안정성을 공통적으로 긍정 평가하는 가운데, PER 7.57배·PBR 0.64배로 상대적으로 낮은 밸류에이션에 주목.
은행 중심의 안정성에 더해 비은행·글로벌·대체투자 확대가 진행되고 있어 저평가와 성장성을 동시에 확보할 가능성이 있다고 판단.</t>
        </is>
      </c>
      <c r="D22" s="97" t="n"/>
      <c r="E22" s="97" t="n"/>
      <c r="F22" s="97" t="n"/>
      <c r="G22" s="97" t="n"/>
      <c r="H22" s="97" t="n"/>
      <c r="I22" s="97" t="n"/>
      <c r="J22" s="97" t="n"/>
      <c r="K22" s="97" t="n"/>
      <c r="L22" s="97" t="n"/>
      <c r="M22" s="97" t="n"/>
      <c r="N22" s="97" t="n"/>
      <c r="O22" s="97" t="n"/>
      <c r="P22" s="97" t="n"/>
      <c r="Q22" s="97" t="n"/>
    </row>
    <row r="23">
      <c r="A23" s="20" t="inlineStr">
        <is>
          <t>Top 2</t>
        </is>
      </c>
      <c r="B23" s="24" t="inlineStr">
        <is>
          <t>신한지주</t>
        </is>
      </c>
      <c r="C23" s="98" t="inlineStr">
        <is>
          <t>은행 중심의 안정적 수익구조라는 시장의 평가에 더해, 영업이익률 15.52%와 PER 8.47배·PBR 0.73배의 균형적인 지표를 긍정적으로 평가.
증권·카드·보험 등 비은행 사업이 수익원을 보완하고 있어 수익성과 사업 다각화가 밸류에이션 부담을 상쇄할 수 있다고 판단.</t>
        </is>
      </c>
      <c r="D23" s="52" t="n"/>
      <c r="E23" s="52" t="n"/>
      <c r="F23" s="52" t="n"/>
      <c r="G23" s="52" t="n"/>
      <c r="H23" s="52" t="n"/>
      <c r="I23" s="52" t="n"/>
      <c r="J23" s="52" t="n"/>
      <c r="K23" s="52" t="n"/>
      <c r="L23" s="52" t="n"/>
      <c r="M23" s="52" t="n"/>
      <c r="N23" s="52" t="n"/>
      <c r="O23" s="52" t="n"/>
      <c r="P23" s="52" t="n"/>
      <c r="Q23" s="25" t="n"/>
    </row>
    <row r="24" ht="19.05" customHeight="1">
      <c r="A24" s="20" t="inlineStr">
        <is>
          <t>Top 3</t>
        </is>
      </c>
      <c r="B24" s="24" t="inlineStr">
        <is>
          <t>JB금융지주</t>
        </is>
      </c>
      <c r="C24" s="98" t="inlineStr">
        <is>
          <t>지방금융이라는 규모의 한계가 상대적으로 부각될 수 있으나, ROE 3.19%·영업이익률 21.25%로 높은 수익성을 보유.
PER 7.23배·PBR 0.85배로 높은 수익성에 비해 시장에서 충분히 프리미엄을 받지 못하고 있다고 판단하여 선정.</t>
        </is>
      </c>
      <c r="D24" s="52" t="n"/>
      <c r="E24" s="52" t="n"/>
      <c r="F24" s="52" t="n"/>
      <c r="G24" s="52" t="n"/>
      <c r="H24" s="52" t="n"/>
      <c r="I24" s="52" t="n"/>
      <c r="J24" s="52" t="n"/>
      <c r="K24" s="52" t="n"/>
      <c r="L24" s="52" t="n"/>
      <c r="M24" s="52" t="n"/>
      <c r="N24" s="52" t="n"/>
      <c r="O24" s="52" t="n"/>
      <c r="P24" s="52" t="n"/>
      <c r="Q24" s="25" t="n"/>
    </row>
    <row r="25" ht="19.05" customHeight="1">
      <c r="A25" s="20" t="inlineStr">
        <is>
          <t>탈락 1</t>
        </is>
      </c>
      <c r="B25" s="24" t="inlineStr">
        <is>
          <t>카카오뱅크</t>
        </is>
      </c>
      <c r="C25" s="98" t="inlineStr">
        <is>
          <t>디지털 금융 플랫폼의 성장성은 긍정적이나 PER 19.93배·PBR 1.61배로 금융주 중 밸류에이션 부담이 가장 높음.
특히 카카오AI·카카오X 사업부 분할에 따른 사업구조 변화와 AI 부문에 대한 기대가 주가에 선반영되어 고평가되었을 가능성을 고려해 탈락.</t>
        </is>
      </c>
      <c r="D25" s="52" t="n"/>
      <c r="E25" s="52" t="n"/>
      <c r="F25" s="52" t="n"/>
      <c r="G25" s="52" t="n"/>
      <c r="H25" s="52" t="n"/>
      <c r="I25" s="52" t="n"/>
      <c r="J25" s="52" t="n"/>
      <c r="K25" s="52" t="n"/>
      <c r="L25" s="52" t="n"/>
      <c r="M25" s="52" t="n"/>
      <c r="N25" s="52" t="n"/>
      <c r="O25" s="52" t="n"/>
      <c r="P25" s="52" t="n"/>
      <c r="Q25" s="25" t="n"/>
    </row>
    <row r="26" ht="19.05" customHeight="1">
      <c r="A26" s="20" t="inlineStr">
        <is>
          <t>탈락 2</t>
        </is>
      </c>
      <c r="B26" s="24" t="inlineStr">
        <is>
          <t>KB끔융</t>
        </is>
      </c>
      <c r="C26" s="98" t="inlineStr">
        <is>
          <t>국내 최대 금융그룹이라는 안정성과 비은행 포트폴리오 확대는 긍정적이나, PER 9.24배·PBR 0.89배로 선정 기업 대비 밸류에이션 부담이 존재.
높은 시장 지위가 이미 주가에 상당 부분 반영되어 있어 추가적인 상승 여력이 상대적으로 제한적이라고 판단.</t>
        </is>
      </c>
      <c r="D26" s="52" t="n"/>
      <c r="E26" s="52" t="n"/>
      <c r="F26" s="52" t="n"/>
      <c r="G26" s="52" t="n"/>
      <c r="H26" s="52" t="n"/>
      <c r="I26" s="52" t="n"/>
      <c r="J26" s="52" t="n"/>
      <c r="K26" s="52" t="n"/>
      <c r="L26" s="52" t="n"/>
      <c r="M26" s="52" t="n"/>
      <c r="N26" s="52" t="n"/>
      <c r="O26" s="52" t="n"/>
      <c r="P26" s="52" t="n"/>
      <c r="Q26" s="25" t="n"/>
    </row>
    <row r="27" ht="19.05" customHeight="1">
      <c r="A27" s="20" t="inlineStr">
        <is>
          <t>탈락 3</t>
        </is>
      </c>
      <c r="B27" s="24" t="inlineStr">
        <is>
          <t>우리금융지주</t>
        </is>
      </c>
      <c r="C27" s="98" t="inlineStr">
        <is>
          <t>증권·보험 편입으로 비은행 확대라는 성장 모멘텀이 있으나, ROE 2.06%로 선정 기업 대비 수익성이 낮은 수준.
PER 7.16배·PBR 0.58배의 저평가 매력은 있으나 비은행 확대가 실제 수익성 개선으로 이어지는지 확인이 필요하다고 판단.</t>
        </is>
      </c>
      <c r="D27" s="52" t="n"/>
      <c r="E27" s="52" t="n"/>
      <c r="F27" s="52" t="n"/>
      <c r="G27" s="52" t="n"/>
      <c r="H27" s="52" t="n"/>
      <c r="I27" s="52" t="n"/>
      <c r="J27" s="52" t="n"/>
      <c r="K27" s="52" t="n"/>
      <c r="L27" s="52" t="n"/>
      <c r="M27" s="52" t="n"/>
      <c r="N27" s="52" t="n"/>
      <c r="O27" s="52" t="n"/>
      <c r="P27" s="52" t="n"/>
      <c r="Q27" s="25" t="n"/>
    </row>
    <row r="28" ht="19.05" customHeight="1">
      <c r="A28" s="20" t="inlineStr">
        <is>
          <t>탈락 4</t>
        </is>
      </c>
      <c r="B28" s="24" t="inlineStr">
        <is>
          <t>기업은행</t>
        </is>
      </c>
      <c r="C28" s="98" t="inlineStr">
        <is>
          <t>중소기업 금융시장 점유율 24.6%와 PER 6.22배·PBR 0.44배의 저평가는 긍정적이나, 정책금융기관이라는 사업 특성상 성장성에 한계.
따라서 낮은 밸류에이션이 충분한 성장 기대를 반영하지 못한 기회라기보다 구조적인 할인 요인일 가능성을 고려해 탈락.</t>
        </is>
      </c>
      <c r="D28" s="52" t="n"/>
      <c r="E28" s="52" t="n"/>
      <c r="F28" s="52" t="n"/>
      <c r="G28" s="52" t="n"/>
      <c r="H28" s="52" t="n"/>
      <c r="I28" s="52" t="n"/>
      <c r="J28" s="52" t="n"/>
      <c r="K28" s="52" t="n"/>
      <c r="L28" s="52" t="n"/>
      <c r="M28" s="52" t="n"/>
      <c r="N28" s="52" t="n"/>
      <c r="O28" s="52" t="n"/>
      <c r="P28" s="52" t="n"/>
      <c r="Q28" s="25" t="n"/>
    </row>
    <row r="29" ht="19.05" customHeight="1">
      <c r="A29" s="53" t="inlineStr">
        <is>
          <t>탈락 5</t>
        </is>
      </c>
      <c r="B29" s="54" t="inlineStr">
        <is>
          <t>iM금융지주</t>
        </is>
      </c>
      <c r="C29" s="99" t="inlineStr">
        <is>
          <t>시중은행 전환과 전국화라는 성장 가능성에도 불구하고 영업이익률 5.00%로 비교군 중 수익성이 낮은 편.
PER 6.22배·PBR 0.43배의 저평가 매력보다 전환 전략의 실적 기여가 아직 충분히 검증되지 않았다는 점을 더 크게 평가.</t>
        </is>
      </c>
      <c r="D29" s="56" t="n"/>
      <c r="E29" s="56" t="n"/>
      <c r="F29" s="56" t="n"/>
      <c r="G29" s="56" t="n"/>
      <c r="H29" s="56" t="n"/>
      <c r="I29" s="56" t="n"/>
      <c r="J29" s="56" t="n"/>
      <c r="K29" s="56" t="n"/>
      <c r="L29" s="56" t="n"/>
      <c r="M29" s="56" t="n"/>
      <c r="N29" s="56" t="n"/>
      <c r="O29" s="56" t="n"/>
      <c r="P29" s="56" t="n"/>
      <c r="Q29" s="57" t="n"/>
    </row>
  </sheetData>
  <mergeCells count="15">
    <mergeCell ref="C29:Q29"/>
    <mergeCell ref="E4:F4"/>
    <mergeCell ref="C25:Q25"/>
    <mergeCell ref="C24:Q24"/>
    <mergeCell ref="B4:C4"/>
    <mergeCell ref="B5:C5"/>
    <mergeCell ref="A7:Q7"/>
    <mergeCell ref="C28:Q28"/>
    <mergeCell ref="C27:Q27"/>
    <mergeCell ref="E5:F5"/>
    <mergeCell ref="K5:L5"/>
    <mergeCell ref="H5:I5"/>
    <mergeCell ref="C23:Q23"/>
    <mergeCell ref="H4:I4"/>
    <mergeCell ref="C26:Q26"/>
  </mergeCell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Q32"/>
  <sheetViews>
    <sheetView showGridLines="0" zoomScale="85" workbookViewId="0">
      <pane xSplit="2" ySplit="28" topLeftCell="C29"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8" customWidth="1" min="3" max="3"/>
    <col width="10" customWidth="1" min="4" max="4"/>
    <col width="11" customWidth="1" min="5" max="5"/>
    <col width="10" customWidth="1" min="6" max="6"/>
    <col width="11" customWidth="1" min="7" max="7"/>
    <col width="10" customWidth="1" min="8" max="8"/>
    <col width="12" customWidth="1" min="9" max="9"/>
    <col width="10" customWidth="1" min="10" max="10"/>
    <col width="9" customWidth="1" min="11" max="11"/>
    <col width="11" customWidth="1" min="12" max="12"/>
    <col width="22" customWidth="1" min="13" max="13"/>
    <col width="26" customWidth="1" min="14" max="14"/>
    <col width="34" customWidth="1" min="15" max="15"/>
    <col width="18" customWidth="1" min="16" max="16"/>
    <col width="9" customWidth="1" min="17" max="17"/>
  </cols>
  <sheetData>
    <row r="1" ht="22.05" customHeight="1">
      <c r="A1" s="17" t="inlineStr">
        <is>
          <t>통신·미디어·엔터</t>
        </is>
      </c>
    </row>
    <row r="2">
      <c r="A2" s="18" t="inlineStr">
        <is>
          <t>ICOK Fund 26-2  ·  담당 산업 스크리닝</t>
        </is>
      </c>
    </row>
    <row r="3" ht="3" customHeight="1">
      <c r="A3" s="19" t="n"/>
      <c r="B3" s="19" t="n"/>
      <c r="C3" s="19" t="n"/>
      <c r="D3" s="19" t="n"/>
      <c r="E3" s="19" t="n"/>
      <c r="F3" s="19" t="n"/>
      <c r="G3" s="19" t="n"/>
      <c r="H3" s="19" t="n"/>
      <c r="I3" s="19" t="n"/>
      <c r="J3" s="19" t="n"/>
      <c r="K3" s="19" t="n"/>
      <c r="L3" s="19" t="n"/>
      <c r="M3" s="19" t="n"/>
      <c r="N3" s="19" t="n"/>
      <c r="O3" s="19" t="n"/>
      <c r="P3" s="19" t="n"/>
      <c r="Q3" s="19" t="n"/>
    </row>
    <row r="4" ht="16.95" customHeight="1">
      <c r="A4" s="20" t="inlineStr">
        <is>
          <t>팀</t>
        </is>
      </c>
      <c r="B4" s="24" t="inlineStr">
        <is>
          <t>팀 3 · 내수·디펜시브</t>
        </is>
      </c>
      <c r="C4" s="25" t="n"/>
      <c r="D4" s="20" t="inlineStr">
        <is>
          <t>담당자</t>
        </is>
      </c>
      <c r="E4" s="24" t="inlineStr">
        <is>
          <t>이서현</t>
        </is>
      </c>
      <c r="F4" s="25" t="n"/>
      <c r="G4" s="20" t="inlineStr">
        <is>
          <t>제출일</t>
        </is>
      </c>
      <c r="H4" s="26" t="n">
        <v>46287</v>
      </c>
      <c r="I4" s="25" t="n"/>
    </row>
    <row r="5" ht="16.95" customHeight="1">
      <c r="A5" s="20" t="inlineStr">
        <is>
          <t>지수 비중</t>
        </is>
      </c>
      <c r="B5" s="24" t="inlineStr">
        <is>
          <t>1.11%</t>
        </is>
      </c>
      <c r="C5" s="25" t="n"/>
      <c r="D5" s="20" t="inlineStr">
        <is>
          <t>배정액</t>
        </is>
      </c>
      <c r="E5" s="24" t="inlineStr">
        <is>
          <t>309,664원</t>
        </is>
      </c>
      <c r="F5" s="25" t="n"/>
      <c r="G5" s="20" t="inlineStr">
        <is>
          <t>종목 수</t>
        </is>
      </c>
      <c r="H5" s="24" t="inlineStr">
        <is>
          <t>13</t>
        </is>
      </c>
      <c r="I5" s="25" t="n"/>
      <c r="J5" s="20" t="inlineStr">
        <is>
          <t>기준일</t>
        </is>
      </c>
      <c r="K5" s="24" t="inlineStr">
        <is>
          <t>2026-09-15</t>
        </is>
      </c>
      <c r="L5" s="25" t="n"/>
    </row>
    <row r="6"/>
    <row r="7">
      <c r="A7" s="18" t="inlineStr">
        <is>
          <t>음영 셀은 기입 완료. 흰색 셀만 작성한다.</t>
        </is>
      </c>
    </row>
    <row r="8"/>
    <row r="9" ht="25.95" customHeight="1">
      <c r="A9" s="28" t="inlineStr">
        <is>
          <t>하위 테마</t>
        </is>
      </c>
      <c r="B9" s="28" t="inlineStr">
        <is>
          <t>기업명</t>
        </is>
      </c>
      <c r="C9" s="28" t="inlineStr">
        <is>
          <t>코드</t>
        </is>
      </c>
      <c r="D9" s="28" t="inlineStr">
        <is>
          <t>주가</t>
        </is>
      </c>
      <c r="E9" s="28" t="inlineStr">
        <is>
          <t>시가총액(조)</t>
        </is>
      </c>
      <c r="F9" s="28" t="inlineStr">
        <is>
          <t>지수 비중</t>
        </is>
      </c>
      <c r="G9" s="28" t="inlineStr">
        <is>
          <t>1주 / 팀예산</t>
        </is>
      </c>
      <c r="H9" s="28" t="inlineStr">
        <is>
          <t>매수 판정</t>
        </is>
      </c>
      <c r="I9" s="28" t="inlineStr">
        <is>
          <t>매출 CAGR(3Y)</t>
        </is>
      </c>
      <c r="J9" s="28" t="inlineStr">
        <is>
          <t>영업이익률</t>
        </is>
      </c>
      <c r="K9" s="28" t="inlineStr">
        <is>
          <t>ROE</t>
        </is>
      </c>
      <c r="L9" s="28" t="inlineStr">
        <is>
          <t>PER / PBR</t>
        </is>
      </c>
      <c r="M9" s="28" t="inlineStr">
        <is>
          <t>주요 제품</t>
        </is>
      </c>
      <c r="N9" s="28" t="inlineStr">
        <is>
          <t>시장 포지셔닝</t>
        </is>
      </c>
      <c r="O9" s="28" t="inlineStr">
        <is>
          <t>투자포인트 / 탈락 사유</t>
        </is>
      </c>
      <c r="P9" s="28" t="inlineStr">
        <is>
          <t>출처 · 기준일</t>
        </is>
      </c>
      <c r="Q9" s="28" t="inlineStr">
        <is>
          <t>판정</t>
        </is>
      </c>
    </row>
    <row r="10" ht="109.95" customHeight="1">
      <c r="A10" s="100" t="inlineStr">
        <is>
          <t>통신</t>
        </is>
      </c>
      <c r="B10" s="101" t="inlineStr">
        <is>
          <t>SK텔레콤</t>
        </is>
      </c>
      <c r="C10" s="102" t="inlineStr">
        <is>
          <t>017670</t>
        </is>
      </c>
      <c r="D10" s="103" t="n">
        <v>88000</v>
      </c>
      <c r="E10" s="104" t="n">
        <v>18.901525</v>
      </c>
      <c r="F10" s="105" t="n">
        <v>0.003548851829910055</v>
      </c>
      <c r="G10" s="106" t="n">
        <v>0.02000962958953259</v>
      </c>
      <c r="H10" s="102" t="inlineStr">
        <is>
          <t>가능</t>
        </is>
      </c>
      <c r="I10" s="107" t="n">
        <v>-0.004</v>
      </c>
      <c r="J10" s="107" t="n">
        <v>0.06279999999999999</v>
      </c>
      <c r="K10" s="107" t="n">
        <v>0.0333</v>
      </c>
      <c r="L10" s="72" t="inlineStr">
        <is>
          <t>46.3배 / 1.22배</t>
        </is>
      </c>
      <c r="M10" s="108" t="inlineStr">
        <is>
          <t>1. 이동통신(5G)·초고속인터넷
2. IPTV(SK브로드밴드+M14)
3. AI 데이터센터</t>
        </is>
      </c>
      <c r="N10" s="108" t="inlineStr">
        <is>
          <t>국내 이동통신 1위 사업자. 이동전화 점유율 47.7%로 1위, 초고속인터넷 28.8%로 2위를 차지하며 무선과 유선을 모두 갖춘 통신 대표 기업</t>
        </is>
      </c>
      <c r="O10" s="108" t="inlineStr">
        <is>
          <t>2025년 해킹사고로 영업이익이 41.1% 줄어 PER 46.3배는 일시적으로 높은 숫자. 2026년 상반기 영업이익 11,036억원(+21.9%)으로 회복 중. 다만 매출 CAGR -0.4%로 성장은 정체</t>
        </is>
      </c>
      <c r="P10" s="100" t="inlineStr">
        <is>
          <t>DART 2025 사업보고서·2024 사업보고서·2026 반기보고서</t>
        </is>
      </c>
      <c r="Q10" s="100" t="inlineStr">
        <is>
          <t>Top2</t>
        </is>
      </c>
    </row>
    <row r="11" ht="109.95" customHeight="1">
      <c r="A11" s="109" t="inlineStr">
        <is>
          <t>통신</t>
        </is>
      </c>
      <c r="B11" s="101" t="inlineStr">
        <is>
          <t>KT</t>
        </is>
      </c>
      <c r="C11" s="102" t="inlineStr">
        <is>
          <t>030200</t>
        </is>
      </c>
      <c r="D11" s="103" t="n">
        <v>53000</v>
      </c>
      <c r="E11" s="104" t="n">
        <v>13.357149</v>
      </c>
      <c r="F11" s="105" t="n">
        <v>0.002507868686311357</v>
      </c>
      <c r="G11" s="106" t="n">
        <v>0.01205125418460485</v>
      </c>
      <c r="H11" s="102" t="inlineStr">
        <is>
          <t>가능</t>
        </is>
      </c>
      <c r="I11" s="110" t="n">
        <v>0.0326</v>
      </c>
      <c r="J11" s="110" t="n">
        <v>0.08740000000000001</v>
      </c>
      <c r="K11" s="110" t="n">
        <v>0.1022</v>
      </c>
      <c r="L11" s="80" t="inlineStr">
        <is>
          <t>7.7배 / 0.72배</t>
        </is>
      </c>
      <c r="M11" s="111" t="inlineStr">
        <is>
          <t>1. 이동통신·초고속인터넷·IPTV
2. 기업(B2B)·클라우드/IDC
3. 부동산</t>
        </is>
      </c>
      <c r="N11" s="111" t="inlineStr">
        <is>
          <t>초고속인터넷 40.1%·시내전화 79.0%로 유선 1위, 이동전화 28.4%로 2위. 통신에 더해 클라우드·데이터센터·부동산까지 사업을 넓힌 종합 ICT 기업</t>
        </is>
      </c>
      <c r="O11" s="111" t="inlineStr">
        <is>
          <t>배당 확대(주당 2,400원)·자사주 매입 등 주주환원이 강점. 다만 2025년 이익에 아파트 분양 일회성 수익이 섞여 2026년 상반기 영업이익 -33.6%</t>
        </is>
      </c>
      <c r="P11" s="109" t="inlineStr">
        <is>
          <t>DART 2025 사업보고서·2024 사업보고서·2026 반기보고서</t>
        </is>
      </c>
      <c r="Q11" s="109" t="inlineStr">
        <is>
          <t>보류</t>
        </is>
      </c>
    </row>
    <row r="12" ht="109.95" customHeight="1">
      <c r="A12" s="100" t="inlineStr">
        <is>
          <t>엔터·음악</t>
        </is>
      </c>
      <c r="B12" s="101" t="inlineStr">
        <is>
          <t>하이브</t>
        </is>
      </c>
      <c r="C12" s="102" t="inlineStr">
        <is>
          <t>352820</t>
        </is>
      </c>
      <c r="D12" s="103" t="n">
        <v>173100</v>
      </c>
      <c r="E12" s="104" t="n">
        <v>7.461793</v>
      </c>
      <c r="F12" s="105" t="n">
        <v>0.001400987367022505</v>
      </c>
      <c r="G12" s="106" t="n">
        <v>0.0393598509312283</v>
      </c>
      <c r="H12" s="102" t="inlineStr">
        <is>
          <t>가능</t>
        </is>
      </c>
      <c r="I12" s="107" t="n">
        <v>0.1427</v>
      </c>
      <c r="J12" s="107" t="n">
        <v>0.0186</v>
      </c>
      <c r="K12" s="107" t="n">
        <v>-0.0733</v>
      </c>
      <c r="L12" s="72" t="inlineStr">
        <is>
          <t>적자 / 2.17배</t>
        </is>
      </c>
      <c r="M12" s="108" t="inlineStr">
        <is>
          <t>1. 음반·음원
2. 공연
3. MD/라이선싱
4. 위버스(팬 플랫폼)</t>
        </is>
      </c>
      <c r="N12" s="108" t="inlineStr">
        <is>
          <t>써클차트 Top100 앨범 판매량의 41.3%를 소속 아티스트가 차지하는 K-POP 기획사. 여러 레이블을 거느린 멀티 레이블 체제와 팬 플랫폼 위버스를 함께 운영</t>
        </is>
      </c>
      <c r="O12" s="108" t="inlineStr">
        <is>
          <t>매출은 연평균 14.3% 늘었지만 영업이익률 1.9%, ROE -7.3%로 이익이 거의 없음. 2026년 상반기도 매출 +78.1%에 영업손실 257억원</t>
        </is>
      </c>
      <c r="P12" s="100" t="inlineStr">
        <is>
          <t>DART 2025 사업보고서·2024 사업보고서·2026 반기보고서</t>
        </is>
      </c>
      <c r="Q12" s="100" t="inlineStr">
        <is>
          <t>탈락</t>
        </is>
      </c>
    </row>
    <row r="13" ht="109.95" customHeight="1">
      <c r="A13" s="109" t="inlineStr">
        <is>
          <t>통신</t>
        </is>
      </c>
      <c r="B13" s="101" t="inlineStr">
        <is>
          <t>LG유플러스</t>
        </is>
      </c>
      <c r="C13" s="102" t="inlineStr">
        <is>
          <t>032640</t>
        </is>
      </c>
      <c r="D13" s="103" t="n">
        <v>14850</v>
      </c>
      <c r="E13" s="104" t="n">
        <v>6.302752</v>
      </c>
      <c r="F13" s="105" t="n">
        <v>0.001183371869130626</v>
      </c>
      <c r="G13" s="106" t="n">
        <v>0.003376624993233624</v>
      </c>
      <c r="H13" s="102" t="inlineStr">
        <is>
          <t>가능</t>
        </is>
      </c>
      <c r="I13" s="110" t="n">
        <v>0.0358</v>
      </c>
      <c r="J13" s="110" t="n">
        <v>0.0577</v>
      </c>
      <c r="K13" s="110" t="n">
        <v>0.0601</v>
      </c>
      <c r="L13" s="80" t="inlineStr">
        <is>
          <t>12.0배 / 0.69배</t>
        </is>
      </c>
      <c r="M13" s="111" t="inlineStr">
        <is>
          <t>1. 이동통신(무선)
2. 스마트홈(IPTV·인터넷)
3. 기업인프라(IDC 등)</t>
        </is>
      </c>
      <c r="N13" s="111" t="inlineStr">
        <is>
          <t>이동전화 점유율 23.9%로 통신 3사 중 3위지만, 5G 핸셋 비중이 84.9%로 고객 대부분이 5G를 사용. 파주에 AI 데이터센터(AIDC)를 짓는 등 AI 인프라로 사업을 넓히는 중</t>
        </is>
      </c>
      <c r="O13" s="111" t="inlineStr">
        <is>
          <t>PBR 0.69배로 순자산보다 주가 총액이 낮은 수준. 2026년 상반기 영업이익 6,167억원(+10.1%)으로 통신 3사 중 증가율 2위. 다만 ROE 6.0%로 KT(10.2%)보다 수익성은 낮음</t>
        </is>
      </c>
      <c r="P13" s="109" t="inlineStr">
        <is>
          <t>DART 2025 사업보고서·2024 사업보고서·2026 반기보고서</t>
        </is>
      </c>
      <c r="Q13" s="109" t="inlineStr">
        <is>
          <t>Top1</t>
        </is>
      </c>
    </row>
    <row r="14" ht="109.95" customHeight="1">
      <c r="A14" s="100" t="inlineStr">
        <is>
          <t>카지노·레저</t>
        </is>
      </c>
      <c r="B14" s="101" t="inlineStr">
        <is>
          <t>강원랜드</t>
        </is>
      </c>
      <c r="C14" s="102" t="inlineStr">
        <is>
          <t>035250</t>
        </is>
      </c>
      <c r="D14" s="103" t="n">
        <v>14730</v>
      </c>
      <c r="E14" s="104" t="n">
        <v>3.151344</v>
      </c>
      <c r="F14" s="105" t="n">
        <v>0.0005916799264120791</v>
      </c>
      <c r="G14" s="106" t="n">
        <v>0.003349339134702443</v>
      </c>
      <c r="H14" s="102" t="inlineStr">
        <is>
          <t>가능</t>
        </is>
      </c>
      <c r="I14" s="107" t="n">
        <v>0.0514</v>
      </c>
      <c r="J14" s="107" t="n">
        <v>0.1593</v>
      </c>
      <c r="K14" s="107" t="n">
        <v>0.08110000000000001</v>
      </c>
      <c r="L14" s="72" t="inlineStr">
        <is>
          <t>9.9배 / 0.81배</t>
        </is>
      </c>
      <c r="M14" s="108" t="inlineStr">
        <is>
          <t>1. 내국인 출입 카지노(2025년 매출 89%)
2. 하이원리조트(호텔·콘도·스키·골프, 11%)</t>
        </is>
      </c>
      <c r="N14" s="108" t="inlineStr">
        <is>
          <t>폐광지역특별법에 따라 국내에서 유일하게 내국인이 출입할 수 있는 카지노. 경쟁자가 없는 대신 영업장 면적·게임기구 수를 정부 허가로 정하는 규제 산업</t>
        </is>
      </c>
      <c r="O14" s="108" t="inlineStr">
        <is>
          <t>영업이익률 15.9%에 빚도 적은 편(부채비율 22.2%). 다만 성장이 느리고(CAGR 5.1%) 2026년 상반기 영업이익 -15.1%</t>
        </is>
      </c>
      <c r="P14" s="100" t="inlineStr">
        <is>
          <t>DART 2025 사업보고서·2024 사업보고서·2026 반기보고서</t>
        </is>
      </c>
      <c r="Q14" s="100" t="inlineStr">
        <is>
          <t>보류</t>
        </is>
      </c>
    </row>
    <row r="15" ht="109.95" customHeight="1">
      <c r="A15" s="109" t="inlineStr">
        <is>
          <t>미디어·광고·콘텐츠</t>
        </is>
      </c>
      <c r="B15" s="101" t="inlineStr">
        <is>
          <t>제일기획</t>
        </is>
      </c>
      <c r="C15" s="102" t="inlineStr">
        <is>
          <t>030000</t>
        </is>
      </c>
      <c r="D15" s="103" t="n">
        <v>18790</v>
      </c>
      <c r="E15" s="104" t="n">
        <v>2.161625</v>
      </c>
      <c r="F15" s="105" t="n">
        <v>0.0004058554448294158</v>
      </c>
      <c r="G15" s="106" t="n">
        <v>0.00427251068167406</v>
      </c>
      <c r="H15" s="102" t="inlineStr">
        <is>
          <t>가능</t>
        </is>
      </c>
      <c r="I15" s="110" t="n">
        <v>0.0225</v>
      </c>
      <c r="J15" s="110" t="n">
        <v>0.0741</v>
      </c>
      <c r="K15" s="110" t="n">
        <v>0.137</v>
      </c>
      <c r="L15" s="80" t="inlineStr">
        <is>
          <t>10.4배 / 1.34배</t>
        </is>
      </c>
      <c r="M15" s="111" t="inlineStr">
        <is>
          <t>1. 광고 기획·제작
2. 매체 대행·프로모션
3. 디지털(AdTech) 솔루션</t>
        </is>
      </c>
      <c r="N15" s="111" t="inlineStr">
        <is>
          <t>46개국 55개 거점을 둔 글로벌 광고회사. 2026년 상반기 영업총이익의 78.9%를 해외에서 벌 만큼 해외 비중이 큼</t>
        </is>
      </c>
      <c r="O15" s="111" t="inlineStr">
        <is>
          <t>ROE 13.7%로 수익성은 양호. 다만 매출 CAGR 2.2%로 성장이 느리고 2026년 상반기 영업이익 -14.2%</t>
        </is>
      </c>
      <c r="P15" s="109" t="inlineStr">
        <is>
          <t>DART 2025 사업보고서·2024 사업보고서·2026 반기보고서</t>
        </is>
      </c>
      <c r="Q15" s="109" t="inlineStr">
        <is>
          <t>탈락</t>
        </is>
      </c>
    </row>
    <row r="16" ht="109.95" customHeight="1">
      <c r="A16" s="100" t="inlineStr">
        <is>
          <t>엔터·음악</t>
        </is>
      </c>
      <c r="B16" s="101" t="inlineStr">
        <is>
          <t>에스엠</t>
        </is>
      </c>
      <c r="C16" s="102" t="inlineStr">
        <is>
          <t>041510</t>
        </is>
      </c>
      <c r="D16" s="103" t="n">
        <v>87500</v>
      </c>
      <c r="E16" s="104" t="n">
        <v>2.003285</v>
      </c>
      <c r="F16" s="105" t="n">
        <v>0.0003761263516082097</v>
      </c>
      <c r="G16" s="106" t="n">
        <v>0.01989593851231933</v>
      </c>
      <c r="H16" s="102" t="inlineStr">
        <is>
          <t>가능</t>
        </is>
      </c>
      <c r="I16" s="107" t="n">
        <v>0.1136</v>
      </c>
      <c r="J16" s="107" t="n">
        <v>0.1558</v>
      </c>
      <c r="K16" s="107" t="n">
        <v>0.4165</v>
      </c>
      <c r="L16" s="72" t="inlineStr">
        <is>
          <t>5.8배 / 1.94배</t>
        </is>
      </c>
      <c r="M16" s="108" t="inlineStr">
        <is>
          <t>1. 음반·음원·공연·MD(엔터 93.8%)
2. 광고(4.5%)
3. 팬 플랫폼(디어유)</t>
        </is>
      </c>
      <c r="N16" s="108" t="inlineStr">
        <is>
          <t>RIIZE·NCT WISH·aespa 등 여러 세대의 아티스트를 보유한 K-POP 기획사. 2026년 상반기 매출 중 음반·음원 23.7%, 공연·영상 등 58.6%로 공연 비중이 큼</t>
        </is>
      </c>
      <c r="O16" s="108" t="inlineStr">
        <is>
          <t>2026년 상반기 매출 +17.7%·영업이익 +14.0%로 성장 지속. 다만 PER 5.8배는 일회성 이익 2,140억원이 섞인 숫자로, 이를 빼면 PER 15.0배</t>
        </is>
      </c>
      <c r="P16" s="100" t="inlineStr">
        <is>
          <t>DART 2025 사업보고서·2024 사업보고서 정정·2026 반기보고서</t>
        </is>
      </c>
      <c r="Q16" s="100" t="inlineStr">
        <is>
          <t>Top3</t>
        </is>
      </c>
    </row>
    <row r="17" ht="109.95" customHeight="1">
      <c r="A17" s="109" t="inlineStr">
        <is>
          <t>엔터·음악</t>
        </is>
      </c>
      <c r="B17" s="101" t="inlineStr">
        <is>
          <t>JYP Ent.</t>
        </is>
      </c>
      <c r="C17" s="102" t="inlineStr">
        <is>
          <t>035900</t>
        </is>
      </c>
      <c r="D17" s="103" t="n">
        <v>39150</v>
      </c>
      <c r="E17" s="104" t="n">
        <v>1.391097</v>
      </c>
      <c r="F17" s="105" t="n">
        <v>0.0002611851231068598</v>
      </c>
      <c r="G17" s="106" t="n">
        <v>0.008902011345797736</v>
      </c>
      <c r="H17" s="102" t="inlineStr">
        <is>
          <t>가능</t>
        </is>
      </c>
      <c r="I17" s="110" t="n">
        <v>0.3344</v>
      </c>
      <c r="J17" s="110" t="n">
        <v>0.1889</v>
      </c>
      <c r="K17" s="110" t="n">
        <v>0.2921</v>
      </c>
      <c r="L17" s="80" t="inlineStr">
        <is>
          <t>8.7배 / 2.14배</t>
        </is>
      </c>
      <c r="M17" s="111" t="inlineStr">
        <is>
          <t>1. 음반·음원
2. 공연
3. MD
4. IP 라이선싱</t>
        </is>
      </c>
      <c r="N17" s="111" t="inlineStr">
        <is>
          <t>TWICE·Stray Kids·NMIXX 등을 보유한 K-POP 기획사. 아티스트별 레이블 체제와 자체 제작 인프라를 갖춰 음악을 꾸준히 만들어내는 구조</t>
        </is>
      </c>
      <c r="O17" s="111" t="inlineStr">
        <is>
          <t>매출 CAGR 33.4%·영업이익률 18.9%로 엔터 4사 중 수익성 1위. 다만 2026년 상반기 영업이익 -11.3%로 둔화</t>
        </is>
      </c>
      <c r="P17" s="109" t="inlineStr">
        <is>
          <t>DART 2025 사업보고서·2024 사업보고서·2026 반기보고서</t>
        </is>
      </c>
      <c r="Q17" s="109" t="inlineStr">
        <is>
          <t>보류</t>
        </is>
      </c>
    </row>
    <row r="18" ht="109.95" customHeight="1">
      <c r="A18" s="100" t="inlineStr">
        <is>
          <t>카지노·레저</t>
        </is>
      </c>
      <c r="B18" s="101" t="inlineStr">
        <is>
          <t>롯데관광개발</t>
        </is>
      </c>
      <c r="C18" s="102" t="inlineStr">
        <is>
          <t>032350</t>
        </is>
      </c>
      <c r="D18" s="103" t="n">
        <v>11680</v>
      </c>
      <c r="E18" s="104" t="n">
        <v>0.931193</v>
      </c>
      <c r="F18" s="105" t="n">
        <v>0.0001748359448271732</v>
      </c>
      <c r="G18" s="106" t="n">
        <v>0.002655823563701598</v>
      </c>
      <c r="H18" s="102" t="inlineStr">
        <is>
          <t>가능</t>
        </is>
      </c>
      <c r="I18" s="107" t="n">
        <v>0.5266</v>
      </c>
      <c r="J18" s="107" t="n">
        <v>0.2193</v>
      </c>
      <c r="K18" s="107" t="n">
        <v>0.0806</v>
      </c>
      <c r="L18" s="72" t="inlineStr">
        <is>
          <t>33.5배 / 2.47배</t>
        </is>
      </c>
      <c r="M18" s="108" t="inlineStr">
        <is>
          <t>1. 제주 드림타워 복합리조트(그랜드 하얏트 1,600실)
2. 외국인전용 카지노
3. 여행업</t>
        </is>
      </c>
      <c r="N18" s="108" t="inlineStr">
        <is>
          <t>제주 최대 규모 복합리조트인 드림타워를 운영하며 호텔·카지노·쇼핑을 한곳에서 제공. 2025년 카지노 이용객은 59만명</t>
        </is>
      </c>
      <c r="O18" s="108" t="inlineStr">
        <is>
          <t>매출 CAGR 52.7%·2026년 상반기 영업이익 +74.9%로 성장이 가장 빠른 편. 다만 부채비율 489%(13종목 중 최고)로 영업이익 1,433억원 중 지배순이익은 278억원</t>
        </is>
      </c>
      <c r="P18" s="100" t="inlineStr">
        <is>
          <t>DART 2025 사업보고서·2024 사업보고서·2026 반기보고서</t>
        </is>
      </c>
      <c r="Q18" s="100" t="inlineStr">
        <is>
          <t>보류</t>
        </is>
      </c>
    </row>
    <row r="19" ht="109.95" customHeight="1">
      <c r="A19" s="109" t="inlineStr">
        <is>
          <t>카지노·레저</t>
        </is>
      </c>
      <c r="B19" s="101" t="inlineStr">
        <is>
          <t>파라다이스</t>
        </is>
      </c>
      <c r="C19" s="102" t="inlineStr">
        <is>
          <t>034230</t>
        </is>
      </c>
      <c r="D19" s="103" t="n">
        <v>9880</v>
      </c>
      <c r="E19" s="104" t="n">
        <v>0.915178</v>
      </c>
      <c r="F19" s="105" t="n">
        <v>0.0001718290518883225</v>
      </c>
      <c r="G19" s="106" t="n">
        <v>0.002246535685733886</v>
      </c>
      <c r="H19" s="102" t="inlineStr">
        <is>
          <t>가능</t>
        </is>
      </c>
      <c r="I19" s="110" t="n">
        <v>0.2508</v>
      </c>
      <c r="J19" s="110" t="n">
        <v>0.1355</v>
      </c>
      <c r="K19" s="110" t="n">
        <v>0.0562</v>
      </c>
      <c r="L19" s="80" t="inlineStr">
        <is>
          <t>9.7배 / 0.52배</t>
        </is>
      </c>
      <c r="M19" s="111" t="inlineStr">
        <is>
          <t>1. 외국인전용 카지노 4곳(워커힐·인천·부산·제주)
2. 호텔(부산·파라다이스시티)</t>
        </is>
      </c>
      <c r="N19" s="111" t="inlineStr">
        <is>
          <t>외국인만 출입할 수 있는 카지노를 운영하며, 인천 영종도에 호텔·카지노를 합친 복합리조트 파라다이스시티를 보유</t>
        </is>
      </c>
      <c r="O19" s="111" t="inlineStr">
        <is>
          <t>PBR 0.52배·PER 9.7배로 주가가 낮은 편. 다만 2026년 상반기 매출 +7.8%에도 영업이익 -27.2%</t>
        </is>
      </c>
      <c r="P19" s="109" t="inlineStr">
        <is>
          <t>DART 2025 사업보고서·2024 사업보고서 정정·2026 반기보고서</t>
        </is>
      </c>
      <c r="Q19" s="109" t="inlineStr">
        <is>
          <t>보류</t>
        </is>
      </c>
    </row>
    <row r="20" ht="109.95" customHeight="1">
      <c r="A20" s="100" t="inlineStr">
        <is>
          <t>엔터·음악</t>
        </is>
      </c>
      <c r="B20" s="101" t="inlineStr">
        <is>
          <t>와이지엔터테인먼트</t>
        </is>
      </c>
      <c r="C20" s="102" t="inlineStr">
        <is>
          <t>122870</t>
        </is>
      </c>
      <c r="D20" s="103" t="n">
        <v>44600</v>
      </c>
      <c r="E20" s="104" t="n">
        <v>0.8336209999999999</v>
      </c>
      <c r="F20" s="105" t="n">
        <v>0.0001565163345974174</v>
      </c>
      <c r="G20" s="106" t="n">
        <v>0.0101412440874222</v>
      </c>
      <c r="H20" s="102" t="inlineStr">
        <is>
          <t>가능</t>
        </is>
      </c>
      <c r="I20" s="107" t="n">
        <v>0.1172</v>
      </c>
      <c r="J20" s="107" t="n">
        <v>0.1308</v>
      </c>
      <c r="K20" s="107" t="n">
        <v>0.074</v>
      </c>
      <c r="L20" s="72" t="inlineStr">
        <is>
          <t>22.6배 / 1.60배</t>
        </is>
      </c>
      <c r="M20" s="108" t="inlineStr">
        <is>
          <t>1. 음반·음원
2. 공연
3. 매니지먼트
4. MD</t>
        </is>
      </c>
      <c r="N20" s="108" t="inlineStr">
        <is>
          <t>트레저의 일본 단독공연 누적 관객 100만명, 로제 'APT.'의 글로벌 싱글 1위(IFPI 2025) 등 해외 인지도가 높은 아티스트를 보유한 K-POP 기획사</t>
        </is>
      </c>
      <c r="O20" s="108" t="inlineStr">
        <is>
          <t>PER 22.6배로 주가 부담이 크고 ROE 7.4%로 수익성은 낮음. 영업이익이 2023~2025년 869억원 → -206억원 → 713억원으로 크게 흔들림</t>
        </is>
      </c>
      <c r="P20" s="100" t="inlineStr">
        <is>
          <t>DART 2025 사업보고서 정정·2024 사업보고서·2026 반기보고서</t>
        </is>
      </c>
      <c r="Q20" s="100" t="inlineStr">
        <is>
          <t>탈락</t>
        </is>
      </c>
    </row>
    <row r="21" ht="109.95" customHeight="1">
      <c r="A21" s="109" t="inlineStr">
        <is>
          <t>미디어·광고·콘텐츠</t>
        </is>
      </c>
      <c r="B21" s="101" t="inlineStr">
        <is>
          <t>CJ ENM</t>
        </is>
      </c>
      <c r="C21" s="102" t="inlineStr">
        <is>
          <t>035760</t>
        </is>
      </c>
      <c r="D21" s="103" t="n">
        <v>38000</v>
      </c>
      <c r="E21" s="104" t="n">
        <v>0.833308</v>
      </c>
      <c r="F21" s="105" t="n">
        <v>0.0001564575673485969</v>
      </c>
      <c r="G21" s="106" t="n">
        <v>0.008640521868207253</v>
      </c>
      <c r="H21" s="102" t="inlineStr">
        <is>
          <t>가능</t>
        </is>
      </c>
      <c r="I21" s="110" t="n">
        <v>0.0233</v>
      </c>
      <c r="J21" s="110" t="n">
        <v>0.0259</v>
      </c>
      <c r="K21" s="110" t="n">
        <v>0.0106</v>
      </c>
      <c r="L21" s="80" t="inlineStr">
        <is>
          <t>28.2배 / 0.29배</t>
        </is>
      </c>
      <c r="M21" s="111" t="inlineStr">
        <is>
          <t>1. 미디어플랫폼(tvN·티빙)
2. 영화·드라마
3. 음악(Mnet)
4. 커머스</t>
        </is>
      </c>
      <c r="N21" s="111" t="inlineStr">
        <is>
          <t>tvN·Mnet 등 여러 케이블 채널을 가진 방송채널사업자(MPP)로 시청점유율 14.9%의 1위. 다만 2022년 17.1%에서 점유율이 낮아지는 추세</t>
        </is>
      </c>
      <c r="O21" s="111" t="inlineStr">
        <is>
          <t>PBR 0.29배로 주가는 매우 낮지만 영업이익률 2.6%·ROE 1.1%로 버는 돈이 적고, 부채비율 151.5%로 빚도 많음</t>
        </is>
      </c>
      <c r="P21" s="109" t="inlineStr">
        <is>
          <t>DART 2025 사업보고서·2024 사업보고서·2026 반기보고서</t>
        </is>
      </c>
      <c r="Q21" s="109" t="inlineStr">
        <is>
          <t>탈락</t>
        </is>
      </c>
    </row>
    <row r="22" ht="109.95" customHeight="1">
      <c r="A22" s="112" t="inlineStr">
        <is>
          <t>미디어·광고·콘텐츠</t>
        </is>
      </c>
      <c r="B22" s="113" t="inlineStr">
        <is>
          <t>스튜디오드래곤</t>
        </is>
      </c>
      <c r="C22" s="114" t="inlineStr">
        <is>
          <t>253450</t>
        </is>
      </c>
      <c r="D22" s="115" t="n">
        <v>21950</v>
      </c>
      <c r="E22" s="116" t="n">
        <v>0.659784</v>
      </c>
      <c r="F22" s="117" t="n">
        <v>0.0001238776054178367</v>
      </c>
      <c r="G22" s="118" t="n">
        <v>0.004991038289661821</v>
      </c>
      <c r="H22" s="114" t="inlineStr">
        <is>
          <t>가능</t>
        </is>
      </c>
      <c r="I22" s="119" t="n">
        <v>-0.0873</v>
      </c>
      <c r="J22" s="119" t="n">
        <v>0.0572</v>
      </c>
      <c r="K22" s="119" t="n">
        <v>0.0134</v>
      </c>
      <c r="L22" s="94" t="inlineStr">
        <is>
          <t>63.9배 / 0.85배</t>
        </is>
      </c>
      <c r="M22" s="120" t="inlineStr">
        <is>
          <t>1. 드라마 기획·제작
2. 방송사 편성(21.3%)
3. 국내외 판권 판매(77.0%)</t>
        </is>
      </c>
      <c r="N22" s="120" t="inlineStr">
        <is>
          <t>CJ ENM 계열의 드라마 제작사로, 만든 드라마를 방송사와 OTT에 공급. 2026년에는 지상파 3사로 편성을 넓힐 계획</t>
        </is>
      </c>
      <c r="O22" s="120" t="inlineStr">
        <is>
          <t>3년간 매출이 줄고(CAGR -8.7%) ROE 1.3%로 수익성도 낮음. PER 63.9배로 주가 부담이 큼</t>
        </is>
      </c>
      <c r="P22" s="112" t="inlineStr">
        <is>
          <t>DART 2025 사업보고서·2024 사업보고서·2026 반기보고서</t>
        </is>
      </c>
      <c r="Q22" s="112" t="inlineStr">
        <is>
          <t>탈락</t>
        </is>
      </c>
    </row>
    <row r="23"/>
    <row r="24" ht="22.05" customHeight="1">
      <c r="A24" s="50" t="inlineStr">
        <is>
          <t>선정 결과</t>
        </is>
      </c>
      <c r="B24" s="50" t="n"/>
      <c r="C24" s="50" t="n"/>
      <c r="D24" s="50" t="n"/>
      <c r="E24" s="50" t="n"/>
      <c r="F24" s="50" t="n"/>
      <c r="G24" s="50" t="n"/>
      <c r="H24" s="50" t="n"/>
      <c r="I24" s="50" t="n"/>
      <c r="J24" s="50" t="n"/>
      <c r="K24" s="50" t="n"/>
      <c r="L24" s="50" t="n"/>
      <c r="M24" s="50" t="n"/>
      <c r="N24" s="50" t="n"/>
      <c r="O24" s="50" t="n"/>
      <c r="P24" s="50" t="n"/>
      <c r="Q24" s="50" t="n"/>
    </row>
    <row r="25" ht="49.95" customHeight="1">
      <c r="A25" s="20" t="inlineStr">
        <is>
          <t>Top 1</t>
        </is>
      </c>
      <c r="B25" s="24" t="inlineStr">
        <is>
          <t>LG유플러스</t>
        </is>
      </c>
      <c r="C25" s="121" t="inlineStr">
        <is>
          <t>시장은 올해 영업이익 11,498억원을 예상하는데 상반기에만 53.6%를 달성했고, 선행 PER 8.7배·PBR 0.69배로 가격 부담이 낮음.
하반기 개선(컨센서스 가정 +60.5%) 확인이 필요하지만, 상반기 이익이 늘어난 통신주 중 PBR이 가장 낮다고 판단하여 선정.</t>
        </is>
      </c>
      <c r="D25" s="52" t="n"/>
      <c r="E25" s="52" t="n"/>
      <c r="F25" s="52" t="n"/>
      <c r="G25" s="52" t="n"/>
      <c r="H25" s="52" t="n"/>
      <c r="I25" s="52" t="n"/>
      <c r="J25" s="52" t="n"/>
      <c r="K25" s="52" t="n"/>
      <c r="L25" s="52" t="n"/>
      <c r="M25" s="52" t="n"/>
      <c r="N25" s="52" t="n"/>
      <c r="O25" s="52" t="n"/>
      <c r="P25" s="52" t="n"/>
      <c r="Q25" s="25" t="n"/>
    </row>
    <row r="26" ht="49.95" customHeight="1">
      <c r="A26" s="20" t="inlineStr">
        <is>
          <t>Top 2</t>
        </is>
      </c>
      <c r="B26" s="24" t="inlineStr">
        <is>
          <t>SK텔레콤</t>
        </is>
      </c>
      <c r="C26" s="100" t="inlineStr">
        <is>
          <t>시장은 하반기 영업이익을 상반기보다 22.4% 낮게 보지만, 상반기 수준만 유지돼도 연간 22,072억원으로 컨센서스보다 12.6% 많음.
PER 46.3배는 해킹사고 연도 기준일 뿐, 선행 PER은 14.1배이고 이익도 회복 중이라고 판단하여 선정.</t>
        </is>
      </c>
      <c r="D26" s="52" t="n"/>
      <c r="E26" s="52" t="n"/>
      <c r="F26" s="52" t="n"/>
      <c r="G26" s="52" t="n"/>
      <c r="H26" s="52" t="n"/>
      <c r="I26" s="52" t="n"/>
      <c r="J26" s="52" t="n"/>
      <c r="K26" s="52" t="n"/>
      <c r="L26" s="52" t="n"/>
      <c r="M26" s="52" t="n"/>
      <c r="N26" s="52" t="n"/>
      <c r="O26" s="52" t="n"/>
      <c r="P26" s="52" t="n"/>
      <c r="Q26" s="25" t="n"/>
    </row>
    <row r="27" ht="49.95" customHeight="1">
      <c r="A27" s="20" t="inlineStr">
        <is>
          <t>Top 3</t>
        </is>
      </c>
      <c r="B27" s="24" t="inlineStr">
        <is>
          <t>에스엠</t>
        </is>
      </c>
      <c r="C27" s="100" t="inlineStr">
        <is>
          <t>시장은 하반기 영업이익을 작년보다 6.2% 낮게 보지만, 실제 상반기 영업이익은 +14.0%로 성장 중.
하반기가 작년 수준만 돼도 컨센서스보다 3.4% 많고, 선행 PER 15.3배로 가격 부담도 크지 않다고 판단하여 선정.</t>
        </is>
      </c>
      <c r="D27" s="52" t="n"/>
      <c r="E27" s="52" t="n"/>
      <c r="F27" s="52" t="n"/>
      <c r="G27" s="52" t="n"/>
      <c r="H27" s="52" t="n"/>
      <c r="I27" s="52" t="n"/>
      <c r="J27" s="52" t="n"/>
      <c r="K27" s="52" t="n"/>
      <c r="L27" s="52" t="n"/>
      <c r="M27" s="52" t="n"/>
      <c r="N27" s="52" t="n"/>
      <c r="O27" s="52" t="n"/>
      <c r="P27" s="52" t="n"/>
      <c r="Q27" s="25" t="n"/>
    </row>
    <row r="28" ht="49.95" customHeight="1">
      <c r="A28" s="20" t="inlineStr">
        <is>
          <t>탈락 1</t>
        </is>
      </c>
      <c r="B28" s="24" t="inlineStr">
        <is>
          <t>하이브</t>
        </is>
      </c>
      <c r="C28" s="121" t="inlineStr">
        <is>
          <t>2025년 영업이익률 1.9%, ROE -7.3%로 이익을 거의 못 냈고 올해 상반기도 영업손실 257억원.
시장 예상을 채우려면 하반기에만 3,106억원을 벌어야 해 달성이 쉽지 않고, 선행 PER 37.7배로 부담도 크다고 판단하여 탈락.</t>
        </is>
      </c>
      <c r="D28" s="52" t="n"/>
      <c r="E28" s="52" t="n"/>
      <c r="F28" s="52" t="n"/>
      <c r="G28" s="52" t="n"/>
      <c r="H28" s="52" t="n"/>
      <c r="I28" s="52" t="n"/>
      <c r="J28" s="52" t="n"/>
      <c r="K28" s="52" t="n"/>
      <c r="L28" s="52" t="n"/>
      <c r="M28" s="52" t="n"/>
      <c r="N28" s="52" t="n"/>
      <c r="O28" s="52" t="n"/>
      <c r="P28" s="52" t="n"/>
      <c r="Q28" s="25" t="n"/>
    </row>
    <row r="29" ht="49.95" customHeight="1">
      <c r="A29" s="20" t="inlineStr">
        <is>
          <t>탈락 2</t>
        </is>
      </c>
      <c r="B29" s="24" t="inlineStr">
        <is>
          <t>CJ ENM</t>
        </is>
      </c>
      <c r="C29" s="100" t="inlineStr">
        <is>
          <t>PBR 0.29배로 주가는 낮지만 영업이익률 2.6%·ROE 1.1%로 버는 돈이 적고 빚도 많음(부채비율 151.5%).
상반기 달성률 26.4%로, 낮은 PBR은 기회보다 낮은 수익성의 결과라고 판단하여 탈락.</t>
        </is>
      </c>
      <c r="D29" s="52" t="n"/>
      <c r="E29" s="52" t="n"/>
      <c r="F29" s="52" t="n"/>
      <c r="G29" s="52" t="n"/>
      <c r="H29" s="52" t="n"/>
      <c r="I29" s="52" t="n"/>
      <c r="J29" s="52" t="n"/>
      <c r="K29" s="52" t="n"/>
      <c r="L29" s="52" t="n"/>
      <c r="M29" s="52" t="n"/>
      <c r="N29" s="52" t="n"/>
      <c r="O29" s="52" t="n"/>
      <c r="P29" s="52" t="n"/>
      <c r="Q29" s="25" t="n"/>
    </row>
    <row r="30" ht="49.95" customHeight="1">
      <c r="A30" s="20" t="inlineStr">
        <is>
          <t>탈락 3</t>
        </is>
      </c>
      <c r="B30" s="24" t="inlineStr">
        <is>
          <t>스튜디오드래곤</t>
        </is>
      </c>
      <c r="C30" s="100" t="inlineStr">
        <is>
          <t>매출이 3년간 줄고(CAGR -8.7%) ROE 1.3%로 수익성도 낮음.
PER 63.9배로 부담이 커, 실적 회복이 연간 숫자로 확인될 때까지 지켜보는 것이 낫다고 판단하여 탈락.</t>
        </is>
      </c>
      <c r="D30" s="52" t="n"/>
      <c r="E30" s="52" t="n"/>
      <c r="F30" s="52" t="n"/>
      <c r="G30" s="52" t="n"/>
      <c r="H30" s="52" t="n"/>
      <c r="I30" s="52" t="n"/>
      <c r="J30" s="52" t="n"/>
      <c r="K30" s="52" t="n"/>
      <c r="L30" s="52" t="n"/>
      <c r="M30" s="52" t="n"/>
      <c r="N30" s="52" t="n"/>
      <c r="O30" s="52" t="n"/>
      <c r="P30" s="52" t="n"/>
      <c r="Q30" s="25" t="n"/>
    </row>
    <row r="31" ht="49.95" customHeight="1">
      <c r="A31" s="20" t="inlineStr">
        <is>
          <t>탈락 4</t>
        </is>
      </c>
      <c r="B31" s="24" t="inlineStr">
        <is>
          <t>제일기획</t>
        </is>
      </c>
      <c r="C31" s="100" t="inlineStr">
        <is>
          <t>ROE 13.7%로 수익성은 괜찮지만 성장이 느리고(CAGR 2.2%) 올해 상반기 영업이익도 14.2% 감소.
상반기 달성률 39.6%에 국내 광고비도 줄어 업황 회복을 확인하기 어렵다고 판단하여 탈락.</t>
        </is>
      </c>
      <c r="D31" s="52" t="n"/>
      <c r="E31" s="52" t="n"/>
      <c r="F31" s="52" t="n"/>
      <c r="G31" s="52" t="n"/>
      <c r="H31" s="52" t="n"/>
      <c r="I31" s="52" t="n"/>
      <c r="J31" s="52" t="n"/>
      <c r="K31" s="52" t="n"/>
      <c r="L31" s="52" t="n"/>
      <c r="M31" s="52" t="n"/>
      <c r="N31" s="52" t="n"/>
      <c r="O31" s="52" t="n"/>
      <c r="P31" s="52" t="n"/>
      <c r="Q31" s="25" t="n"/>
    </row>
    <row r="32" ht="49.95" customHeight="1">
      <c r="A32" s="53" t="inlineStr">
        <is>
          <t>탈락 5</t>
        </is>
      </c>
      <c r="B32" s="54" t="inlineStr">
        <is>
          <t>와이지엔터테인먼트</t>
        </is>
      </c>
      <c r="C32" s="112" t="inlineStr">
        <is>
          <t>PER 22.6배로 주가 부담이 크고 ROE 7.4%로 수익성은 낮은 편.
영업이익이 869억원 → -206억원 → 713억원으로 크게 흔들려, 안정성을 중시하는 디펜시브 팀 기준에 맞지 않는다고 판단하여 탈락.</t>
        </is>
      </c>
      <c r="D32" s="56" t="n"/>
      <c r="E32" s="56" t="n"/>
      <c r="F32" s="56" t="n"/>
      <c r="G32" s="56" t="n"/>
      <c r="H32" s="56" t="n"/>
      <c r="I32" s="56" t="n"/>
      <c r="J32" s="56" t="n"/>
      <c r="K32" s="56" t="n"/>
      <c r="L32" s="56" t="n"/>
      <c r="M32" s="56" t="n"/>
      <c r="N32" s="56" t="n"/>
      <c r="O32" s="56" t="n"/>
      <c r="P32" s="56" t="n"/>
      <c r="Q32" s="57" t="n"/>
    </row>
  </sheetData>
  <mergeCells count="15">
    <mergeCell ref="C29:Q29"/>
    <mergeCell ref="C30:Q30"/>
    <mergeCell ref="E4:F4"/>
    <mergeCell ref="C25:Q25"/>
    <mergeCell ref="C32:Q32"/>
    <mergeCell ref="B4:C4"/>
    <mergeCell ref="B5:C5"/>
    <mergeCell ref="C28:Q28"/>
    <mergeCell ref="C27:Q27"/>
    <mergeCell ref="E5:F5"/>
    <mergeCell ref="K5:L5"/>
    <mergeCell ref="H5:I5"/>
    <mergeCell ref="C31:Q31"/>
    <mergeCell ref="H4:I4"/>
    <mergeCell ref="C26:Q26"/>
  </mergeCells>
  <dataValidations count="1">
    <dataValidation sqref="Q10:Q22" showDropDown="0" showInputMessage="0" showErrorMessage="0" allowBlank="1" type="list">
      <formula1>"Top1,Top2,Top3,보류,탈락"</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1"/>
  <sheetViews>
    <sheetView showGridLines="0" workbookViewId="0">
      <pane xSplit="9" ySplit="28" topLeftCell="J29"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8" customWidth="1" min="3" max="3"/>
    <col width="10" customWidth="1" min="4" max="4"/>
    <col width="11" customWidth="1" min="5" max="5"/>
    <col width="10" customWidth="1" min="6" max="6"/>
    <col width="11" customWidth="1" min="7" max="7"/>
    <col width="10" customWidth="1" min="8" max="8"/>
    <col width="12" customWidth="1" min="9" max="9"/>
    <col width="10" customWidth="1" min="10" max="10"/>
    <col width="9" customWidth="1" min="11" max="11"/>
    <col width="11" customWidth="1" min="12" max="12"/>
    <col width="22" customWidth="1" min="13" max="13"/>
    <col width="26" customWidth="1" min="14" max="14"/>
    <col width="34" customWidth="1" min="15" max="15"/>
    <col width="18" customWidth="1" min="16" max="16"/>
    <col width="9" customWidth="1" min="17" max="17"/>
  </cols>
  <sheetData>
    <row r="1" ht="22" customHeight="1">
      <c r="A1" s="17" t="inlineStr">
        <is>
          <t>소비재·유통</t>
        </is>
      </c>
    </row>
    <row r="2">
      <c r="A2" s="18" t="inlineStr">
        <is>
          <t>ICOK Fund 26-2  ·  담당 산업 스크리닝</t>
        </is>
      </c>
    </row>
    <row r="3" ht="3" customHeight="1">
      <c r="A3" s="19" t="n"/>
      <c r="B3" s="19" t="n"/>
      <c r="C3" s="19" t="n"/>
      <c r="D3" s="19" t="n"/>
      <c r="E3" s="19" t="n"/>
      <c r="F3" s="19" t="n"/>
      <c r="G3" s="19" t="n"/>
      <c r="H3" s="19" t="n"/>
      <c r="I3" s="19" t="n"/>
      <c r="J3" s="19" t="n"/>
      <c r="K3" s="19" t="n"/>
      <c r="L3" s="19" t="n"/>
      <c r="M3" s="19" t="n"/>
      <c r="N3" s="19" t="n"/>
      <c r="O3" s="19" t="n"/>
      <c r="P3" s="19" t="n"/>
      <c r="Q3" s="19" t="n"/>
    </row>
    <row r="4" ht="17" customHeight="1">
      <c r="A4" s="20" t="inlineStr">
        <is>
          <t>팀</t>
        </is>
      </c>
      <c r="B4" s="24" t="inlineStr">
        <is>
          <t>팀 3 · 내수·디펜시브</t>
        </is>
      </c>
      <c r="C4" s="25" t="n"/>
      <c r="D4" s="20" t="inlineStr">
        <is>
          <t>담당자</t>
        </is>
      </c>
      <c r="E4" s="24" t="inlineStr">
        <is>
          <t>서민지</t>
        </is>
      </c>
      <c r="F4" s="25" t="n"/>
      <c r="G4" s="20" t="inlineStr">
        <is>
          <t>제출일</t>
        </is>
      </c>
      <c r="H4" s="26" t="n">
        <v>46287</v>
      </c>
      <c r="I4" s="25" t="n"/>
    </row>
    <row r="5" ht="17" customHeight="1">
      <c r="A5" s="20" t="inlineStr">
        <is>
          <t>지수 비중</t>
        </is>
      </c>
      <c r="B5" s="24" t="inlineStr">
        <is>
          <t>2.62%</t>
        </is>
      </c>
      <c r="C5" s="25" t="n"/>
      <c r="D5" s="20" t="inlineStr">
        <is>
          <t>배정액</t>
        </is>
      </c>
      <c r="E5" s="24" t="inlineStr">
        <is>
          <t>733,378원</t>
        </is>
      </c>
      <c r="F5" s="25" t="n"/>
      <c r="G5" s="20" t="inlineStr">
        <is>
          <t>종목 수</t>
        </is>
      </c>
      <c r="H5" s="24" t="inlineStr">
        <is>
          <t>32</t>
        </is>
      </c>
      <c r="I5" s="25" t="n"/>
      <c r="J5" s="20" t="inlineStr">
        <is>
          <t>기준일</t>
        </is>
      </c>
      <c r="K5" s="24" t="inlineStr">
        <is>
          <t>2026-09-15</t>
        </is>
      </c>
      <c r="L5" s="25" t="n"/>
    </row>
    <row r="6"/>
    <row r="7">
      <c r="A7" s="18" t="inlineStr">
        <is>
          <t>음영 셀은 기입 완료. 흰색 셀만 작성한다.</t>
        </is>
      </c>
    </row>
    <row r="8"/>
    <row r="9" ht="26" customHeight="1">
      <c r="A9" s="28" t="inlineStr">
        <is>
          <t>하위 테마</t>
        </is>
      </c>
      <c r="B9" s="28" t="inlineStr">
        <is>
          <t>기업명</t>
        </is>
      </c>
      <c r="C9" s="28" t="inlineStr">
        <is>
          <t>코드</t>
        </is>
      </c>
      <c r="D9" s="28" t="inlineStr">
        <is>
          <t>주가</t>
        </is>
      </c>
      <c r="E9" s="28" t="inlineStr">
        <is>
          <t>시가총액(조)</t>
        </is>
      </c>
      <c r="F9" s="28" t="inlineStr">
        <is>
          <t>지수 비중</t>
        </is>
      </c>
      <c r="G9" s="28" t="inlineStr">
        <is>
          <t>1주 / 팀예산</t>
        </is>
      </c>
      <c r="H9" s="28" t="inlineStr">
        <is>
          <t>매수 판정</t>
        </is>
      </c>
      <c r="I9" s="28" t="inlineStr">
        <is>
          <t>매출 CAGR(3Y)</t>
        </is>
      </c>
      <c r="J9" s="28" t="inlineStr">
        <is>
          <t>영업이익률</t>
        </is>
      </c>
      <c r="K9" s="28" t="inlineStr">
        <is>
          <t>ROE</t>
        </is>
      </c>
      <c r="L9" s="28" t="inlineStr">
        <is>
          <t>PER / PBR</t>
        </is>
      </c>
      <c r="M9" s="28" t="inlineStr">
        <is>
          <t>주요 제품</t>
        </is>
      </c>
      <c r="N9" s="28" t="inlineStr">
        <is>
          <t>시장 포지셔닝</t>
        </is>
      </c>
      <c r="O9" s="28" t="inlineStr">
        <is>
          <t>투자포인트 / 탈락 사유</t>
        </is>
      </c>
      <c r="P9" s="28" t="inlineStr">
        <is>
          <t>출처 · 기준일</t>
        </is>
      </c>
      <c r="Q9" s="28" t="inlineStr">
        <is>
          <t>판정</t>
        </is>
      </c>
    </row>
    <row r="10" ht="58" customHeight="1">
      <c r="A10" s="29" t="n"/>
      <c r="B10" s="30" t="inlineStr">
        <is>
          <t>KT&amp;G</t>
        </is>
      </c>
      <c r="C10" s="31" t="inlineStr">
        <is>
          <t>033780</t>
        </is>
      </c>
      <c r="D10" s="32" t="n">
        <v>170800</v>
      </c>
      <c r="E10" s="33" t="n">
        <v>17.730826</v>
      </c>
      <c r="F10" s="34" t="n">
        <v>0.003329047486693099</v>
      </c>
      <c r="G10" s="35" t="n">
        <v>0.03883687197604734</v>
      </c>
      <c r="H10" s="31" t="inlineStr">
        <is>
          <t>가능</t>
        </is>
      </c>
      <c r="I10" s="36" t="n">
        <v>0.0399</v>
      </c>
      <c r="J10" s="36" t="n">
        <v>0.2194</v>
      </c>
      <c r="K10" s="21" t="n">
        <v>11.77</v>
      </c>
      <c r="L10" s="21" t="n">
        <v>9.984</v>
      </c>
      <c r="M10" s="21" t="inlineStr">
        <is>
          <t>궐련(NGP 포함), 인삼(홍삼), 건강기능식품, 화장품</t>
        </is>
      </c>
      <c r="N10" s="21" t="inlineStr">
        <is>
          <t>국내 궐련·홍삼 시장 1위, 해외궐련 수출 비중 확대 중인 국내 유일 담배 제조사</t>
        </is>
      </c>
      <c r="O10" s="21" t="inlineStr">
        <is>
          <t>영업이익률 21.9%·ROE 11.8%로 담배·인삼 고마진 사업 안정적이며 PER 9.98x로 valuation 부담 낮음. 배당수익률 높고 해외궐련 수출 확대가 추가 성장 동력.</t>
        </is>
      </c>
      <c r="P10" s="21" t="inlineStr">
        <is>
          <t>와이즈리포트</t>
        </is>
      </c>
      <c r="Q10" s="21" t="inlineStr">
        <is>
          <t>보류</t>
        </is>
      </c>
    </row>
    <row r="11" ht="43.5" customHeight="1">
      <c r="A11" s="39" t="n"/>
      <c r="B11" s="30" t="inlineStr">
        <is>
          <t>LG</t>
        </is>
      </c>
      <c r="C11" s="31" t="inlineStr">
        <is>
          <t>003550</t>
        </is>
      </c>
      <c r="D11" s="32" t="n">
        <v>114300</v>
      </c>
      <c r="E11" s="33" t="n">
        <v>17.281246</v>
      </c>
      <c r="F11" s="34" t="n">
        <v>0.003244636688850546</v>
      </c>
      <c r="G11" s="35" t="n">
        <v>0.02598978025094971</v>
      </c>
      <c r="H11" s="31" t="inlineStr">
        <is>
          <t>가능</t>
        </is>
      </c>
      <c r="I11" s="40" t="n">
        <v>0.0031</v>
      </c>
      <c r="J11" s="40" t="n">
        <v>0.1258</v>
      </c>
      <c r="K11" s="41" t="n">
        <v>2.64</v>
      </c>
      <c r="L11" s="41" t="n">
        <v>40.08</v>
      </c>
      <c r="M11" s="41" t="inlineStr">
        <is>
          <t>LG전자·LG화학·LG유플러스·LG생활건강 등 자회사 지분 관리, 브랜드 로열티 수취</t>
        </is>
      </c>
      <c r="N11" s="41" t="inlineStr">
        <is>
          <t>LG그룹 지주회사, 전자·화학·통신 등 계열사를 지배</t>
        </is>
      </c>
      <c r="O11" s="41" t="inlineStr">
        <is>
          <t>매출 CAGR 0.31%·ROE 2.64%로 사실상 성장 정체. PER 40.08x는 순이익 대비 과도하며 지주사 할인 감안해도 밸류에이션 매력 낮음.</t>
        </is>
      </c>
      <c r="P11" s="21" t="inlineStr">
        <is>
          <t>와이즈리포트</t>
        </is>
      </c>
      <c r="Q11" s="41" t="inlineStr">
        <is>
          <t>탈락</t>
        </is>
      </c>
    </row>
    <row r="12" ht="43.5" customHeight="1">
      <c r="A12" s="29" t="n"/>
      <c r="B12" s="30" t="inlineStr">
        <is>
          <t>에이피알</t>
        </is>
      </c>
      <c r="C12" s="31" t="inlineStr">
        <is>
          <t>278470</t>
        </is>
      </c>
      <c r="D12" s="32" t="n">
        <v>361500</v>
      </c>
      <c r="E12" s="33" t="n">
        <v>13.533893</v>
      </c>
      <c r="F12" s="34" t="n">
        <v>0.002541053218661293</v>
      </c>
      <c r="G12" s="35" t="n">
        <v>0.08219864882518216</v>
      </c>
      <c r="H12" s="31" t="inlineStr">
        <is>
          <t>가능</t>
        </is>
      </c>
      <c r="I12" s="36" t="n">
        <v>0.5659999999999999</v>
      </c>
      <c r="J12" s="36" t="n">
        <v>0.2393</v>
      </c>
      <c r="K12" s="21" t="n">
        <v>75.3</v>
      </c>
      <c r="L12" s="21" t="n">
        <v>1.54</v>
      </c>
      <c r="M12" s="21" t="inlineStr">
        <is>
          <t>뷰티디바이스(메디큐브 에이지알), 화장품(메디큐브), 패션(널디)</t>
        </is>
      </c>
      <c r="N12" s="21" t="inlineStr">
        <is>
          <t>홈 뷰티디바이스 국내외 시장 선도, 화장품·디바이스 통합 브랜드 전략</t>
        </is>
      </c>
      <c r="O12" s="21" t="inlineStr">
        <is>
          <t>매출 CAGR 56.6%·ROE 75.3%로 성장성·자본효율 모두 최상위. 밸류에이션 지표도 낮아(1.54x) 팀 예산 내 최우선 후보로 검토.</t>
        </is>
      </c>
      <c r="P12" s="21" t="inlineStr">
        <is>
          <t>와이즈리포트</t>
        </is>
      </c>
      <c r="Q12" s="21" t="inlineStr">
        <is>
          <t>Top1</t>
        </is>
      </c>
    </row>
    <row r="13" ht="43.5" customHeight="1">
      <c r="A13" s="39" t="n"/>
      <c r="B13" s="30" t="inlineStr">
        <is>
          <t>삼양식품</t>
        </is>
      </c>
      <c r="C13" s="31" t="inlineStr">
        <is>
          <t>003230</t>
        </is>
      </c>
      <c r="D13" s="32" t="n">
        <v>1277000</v>
      </c>
      <c r="E13" s="33" t="n">
        <v>9.61966</v>
      </c>
      <c r="F13" s="34" t="n">
        <v>0.001806137229356497</v>
      </c>
      <c r="G13" s="35" t="n">
        <v>0.290367011202649</v>
      </c>
      <c r="H13" s="31" t="inlineStr">
        <is>
          <t>가능</t>
        </is>
      </c>
      <c r="I13" s="40" t="n">
        <v>0.372</v>
      </c>
      <c r="J13" s="40" t="n">
        <v>0.2229</v>
      </c>
      <c r="K13" s="41" t="n">
        <v>37.59</v>
      </c>
      <c r="L13" s="41" t="n">
        <v>3.22</v>
      </c>
      <c r="M13" s="41" t="inlineStr">
        <is>
          <t>불닭볶음면 등 라면, 스낵</t>
        </is>
      </c>
      <c r="N13" s="41" t="inlineStr">
        <is>
          <t>매운맛 라면으로 해외 수출 비중이 절반 이상인 라면 수출 상위 업체</t>
        </is>
      </c>
      <c r="O13" s="41" t="inlineStr">
        <is>
          <t>매출 CAGR 37.2%·영업이익률 22.3%·ROE 37.6%의 고성장·고수익 조합. 밸류에이션(3.22x)도 부담 없어 해외 수출 모멘텀 지속 시 매력적.</t>
        </is>
      </c>
      <c r="P13" s="21" t="inlineStr">
        <is>
          <t>와이즈리포트</t>
        </is>
      </c>
      <c r="Q13" s="41" t="inlineStr">
        <is>
          <t>Top2</t>
        </is>
      </c>
    </row>
    <row r="14" ht="58" customHeight="1">
      <c r="A14" s="29" t="n"/>
      <c r="B14" s="30" t="inlineStr">
        <is>
          <t>아모레퍼시픽</t>
        </is>
      </c>
      <c r="C14" s="31" t="inlineStr">
        <is>
          <t>090430</t>
        </is>
      </c>
      <c r="D14" s="32" t="n">
        <v>144000</v>
      </c>
      <c r="E14" s="33" t="n">
        <v>8.422957</v>
      </c>
      <c r="F14" s="34" t="n">
        <v>0.001581450510617726</v>
      </c>
      <c r="G14" s="35" t="n">
        <v>0.03274303023741696</v>
      </c>
      <c r="H14" s="31" t="inlineStr">
        <is>
          <t>가능</t>
        </is>
      </c>
      <c r="I14" s="36" t="n">
        <v>0.0094</v>
      </c>
      <c r="J14" s="36" t="n">
        <v>0.079</v>
      </c>
      <c r="K14" s="21" t="n">
        <v>4.41</v>
      </c>
      <c r="L14" s="21" t="n">
        <v>23.08</v>
      </c>
      <c r="M14" s="21" t="inlineStr">
        <is>
          <t>설화수·라네즈·이니스프리 등 화장품 브랜드</t>
        </is>
      </c>
      <c r="N14" s="21" t="inlineStr">
        <is>
          <t>국내 화장품 시장 상위권, 중화권 의존도를 낮추고 미주·유럽 채널 확대 중</t>
        </is>
      </c>
      <c r="O14" s="21" t="inlineStr">
        <is>
          <t>매출 CAGR 0.94%·영업이익률 7.9%·ROE 4.41%로 수익성 회복이 아직 수치로 확인되지 않음. PER 23.08x는 현재 실적 대비 높아 중국 수요 회복 가시화 전까지 보수적 접근 필요.</t>
        </is>
      </c>
      <c r="P14" s="21" t="inlineStr">
        <is>
          <t>와이즈리포트</t>
        </is>
      </c>
      <c r="Q14" s="21" t="inlineStr">
        <is>
          <t>보류</t>
        </is>
      </c>
    </row>
    <row r="15" ht="58" customHeight="1">
      <c r="A15" s="39" t="n"/>
      <c r="B15" s="30" t="inlineStr">
        <is>
          <t>코웨이</t>
        </is>
      </c>
      <c r="C15" s="31" t="inlineStr">
        <is>
          <t>021240</t>
        </is>
      </c>
      <c r="D15" s="32" t="n">
        <v>101500</v>
      </c>
      <c r="E15" s="33" t="n">
        <v>7.182894</v>
      </c>
      <c r="F15" s="34" t="n">
        <v>0.001348622744246824</v>
      </c>
      <c r="G15" s="35" t="n">
        <v>0.02307928867429043</v>
      </c>
      <c r="H15" s="31" t="inlineStr">
        <is>
          <t>가능</t>
        </is>
      </c>
      <c r="I15" s="40" t="n">
        <v>0.0878</v>
      </c>
      <c r="J15" s="40" t="n">
        <v>0.177</v>
      </c>
      <c r="K15" s="41" t="n">
        <v>18.14</v>
      </c>
      <c r="L15" s="41" t="n">
        <v>5.96</v>
      </c>
      <c r="M15" s="41" t="inlineStr">
        <is>
          <t>정수기·공기청정기·매트리스 등 렌탈 제품 및 코디 방문관리 서비스</t>
        </is>
      </c>
      <c r="N15" s="41" t="inlineStr">
        <is>
          <t>국내 생활가전 렌탈시장 1위, 말레이시아 등 해외 렌탈사업 확대 중</t>
        </is>
      </c>
      <c r="O15" s="41" t="inlineStr">
        <is>
          <t>매출 CAGR 8.78%·영업이익률 17.7%·ROE 18.1%로 안정적 수익성 유지. PER 5.96x로 저평가 구간, 렌탈 구독모델 기반 해외(말레이시아 등) 확장이 추가 상승 요인.</t>
        </is>
      </c>
      <c r="P15" s="21" t="inlineStr">
        <is>
          <t>와이즈리포트</t>
        </is>
      </c>
      <c r="Q15" s="41" t="inlineStr">
        <is>
          <t>보류</t>
        </is>
      </c>
    </row>
    <row r="16" ht="43.5" customHeight="1">
      <c r="A16" s="29" t="n"/>
      <c r="B16" s="30" t="inlineStr">
        <is>
          <t>오리온</t>
        </is>
      </c>
      <c r="C16" s="31" t="inlineStr">
        <is>
          <t>271560</t>
        </is>
      </c>
      <c r="D16" s="32" t="n">
        <v>116000</v>
      </c>
      <c r="E16" s="33" t="n">
        <v>4.585339</v>
      </c>
      <c r="F16" s="34" t="n">
        <v>0.0008609193544387525</v>
      </c>
      <c r="G16" s="35" t="n">
        <v>0.02637632991347477</v>
      </c>
      <c r="H16" s="31" t="inlineStr">
        <is>
          <t>가능</t>
        </is>
      </c>
      <c r="I16" s="36" t="n">
        <v>0.0507</v>
      </c>
      <c r="J16" s="36" t="n">
        <v>0.1675</v>
      </c>
      <c r="K16" s="21" t="n">
        <v>10.51</v>
      </c>
      <c r="L16" s="21" t="n">
        <v>9.99</v>
      </c>
      <c r="M16" s="21" t="inlineStr">
        <is>
          <t>초코파이·오감자 등 제과, 스낵</t>
        </is>
      </c>
      <c r="N16" s="21" t="inlineStr">
        <is>
          <t>국내 제과시장 상위권, 중국·베트남·러시아 해외법인 매출 비중이 높음</t>
        </is>
      </c>
      <c r="O16" s="21" t="inlineStr">
        <is>
          <t>영업이익률 16.75%·ROE 10.5%로 견조하나 매출 CAGR은 5.07%로 성장 둔화. PER 9.99x는 부담 없는 수준으로 해외법인 실적에 따라 재평가 여지.</t>
        </is>
      </c>
      <c r="P16" s="21" t="inlineStr">
        <is>
          <t>와이즈리포트</t>
        </is>
      </c>
      <c r="Q16" s="21" t="inlineStr">
        <is>
          <t>보류</t>
        </is>
      </c>
    </row>
    <row r="17" ht="58" customHeight="1">
      <c r="A17" s="39" t="n"/>
      <c r="B17" s="30" t="inlineStr">
        <is>
          <t>LG생활건강</t>
        </is>
      </c>
      <c r="C17" s="31" t="inlineStr">
        <is>
          <t>051900</t>
        </is>
      </c>
      <c r="D17" s="32" t="n">
        <v>302000</v>
      </c>
      <c r="E17" s="33" t="n">
        <v>4.522608</v>
      </c>
      <c r="F17" s="34" t="n">
        <v>0.0008491413087973513</v>
      </c>
      <c r="G17" s="35" t="n">
        <v>0.06866941063680501</v>
      </c>
      <c r="H17" s="31" t="inlineStr">
        <is>
          <t>가능</t>
        </is>
      </c>
      <c r="I17" s="40" t="n">
        <v>-0.0401</v>
      </c>
      <c r="J17" s="40" t="n">
        <v>0.0269</v>
      </c>
      <c r="K17" s="41" t="n">
        <v>-1.82</v>
      </c>
      <c r="L17" s="41" t="n">
        <v>-57.13</v>
      </c>
      <c r="M17" s="41" t="inlineStr">
        <is>
          <t>후·오휘 등 화장품, 샴푸·치약 등 생활용품, 코카콜라 등 음료</t>
        </is>
      </c>
      <c r="N17" s="41" t="inlineStr">
        <is>
          <t>화장품·생활용품·음료 3개 사업부 보유, 중국향 화장품 수요 회복이 관건</t>
        </is>
      </c>
      <c r="O17" s="41" t="inlineStr">
        <is>
          <t>매출 CAGR -4.01%로 역성장 중이며 ROE -1.82%(순손실), PER -57.13x로 밸류에이션 산출 자체가 무의미. 중국 화장품 수요 부진 지속으로 탈락.</t>
        </is>
      </c>
      <c r="P17" s="21" t="inlineStr">
        <is>
          <t>와이즈리포트</t>
        </is>
      </c>
      <c r="Q17" s="41" t="inlineStr">
        <is>
          <t>탈락</t>
        </is>
      </c>
    </row>
    <row r="18" ht="43.5" customHeight="1">
      <c r="A18" s="29" t="n"/>
      <c r="B18" s="30" t="inlineStr">
        <is>
          <t>CJ</t>
        </is>
      </c>
      <c r="C18" s="31" t="inlineStr">
        <is>
          <t>001040</t>
        </is>
      </c>
      <c r="D18" s="32" t="n">
        <v>131500</v>
      </c>
      <c r="E18" s="33" t="n">
        <v>3.836775</v>
      </c>
      <c r="F18" s="34" t="n">
        <v>0.0007203728788922138</v>
      </c>
      <c r="G18" s="35" t="n">
        <v>0.02990075330708563</v>
      </c>
      <c r="H18" s="31" t="inlineStr">
        <is>
          <t>가능</t>
        </is>
      </c>
      <c r="I18" s="36" t="n">
        <v>0.0323</v>
      </c>
      <c r="J18" s="36" t="n">
        <v>0.0562</v>
      </c>
      <c r="K18" s="21" t="n">
        <v>2.69</v>
      </c>
      <c r="L18" s="21" t="n">
        <v>38.57</v>
      </c>
      <c r="M18" s="21" t="inlineStr">
        <is>
          <t>CJ제일제당·CJ ENM·CJ대한통운 등 자회사 지분 관리</t>
        </is>
      </c>
      <c r="N18" s="21" t="inlineStr">
        <is>
          <t>식품·물류·엔터테인먼트 계열사를 지배하는 CJ그룹 지주회사</t>
        </is>
      </c>
      <c r="O18" s="21" t="inlineStr">
        <is>
          <t>ROE 2.69%로 자본효율이 낮고 PER 38.57x는 이익 대비 과대평가. 지주사 할인 감안해도 수익성·밸류에이션 매력이 부족해 탈락 검토.</t>
        </is>
      </c>
      <c r="P18" s="21" t="inlineStr">
        <is>
          <t>와이즈리포트</t>
        </is>
      </c>
      <c r="Q18" s="21" t="inlineStr">
        <is>
          <t>탈락</t>
        </is>
      </c>
    </row>
    <row r="19" ht="43.5" customHeight="1">
      <c r="A19" s="39" t="n"/>
      <c r="B19" s="30" t="inlineStr">
        <is>
          <t>신세계</t>
        </is>
      </c>
      <c r="C19" s="31" t="inlineStr">
        <is>
          <t>004170</t>
        </is>
      </c>
      <c r="D19" s="32" t="n">
        <v>368000</v>
      </c>
      <c r="E19" s="33" t="n">
        <v>3.475827</v>
      </c>
      <c r="F19" s="34" t="n">
        <v>0.0006526031634696554</v>
      </c>
      <c r="G19" s="35" t="n">
        <v>0.08367663282895445</v>
      </c>
      <c r="H19" s="31" t="inlineStr">
        <is>
          <t>가능</t>
        </is>
      </c>
      <c r="I19" s="40" t="n">
        <v>-0.0393</v>
      </c>
      <c r="J19" s="40" t="n">
        <v>0.0693</v>
      </c>
      <c r="K19" s="41" t="n">
        <v>0.32</v>
      </c>
      <c r="L19" s="41" t="n">
        <v>354.58</v>
      </c>
      <c r="M19" s="41" t="inlineStr">
        <is>
          <t>백화점(신세계백화점), 면세점</t>
        </is>
      </c>
      <c r="N19" s="41" t="inlineStr">
        <is>
          <t>백화점 업태 내 프리미엄 포지셔닝, 강남점 등 대형 점포 중심 성장</t>
        </is>
      </c>
      <c r="O19" s="41" t="inlineStr">
        <is>
          <t>매출 CAGR -3.93%·ROE 0.32%로 사실상 이익창출력 소멸, PER 354.58x는 극단적 고평가. 오프라인 백화점 업황 구조적 정체로 탈락.</t>
        </is>
      </c>
      <c r="P19" s="21" t="inlineStr">
        <is>
          <t>와이즈리포트</t>
        </is>
      </c>
      <c r="Q19" s="41" t="inlineStr">
        <is>
          <t>탈락</t>
        </is>
      </c>
    </row>
    <row r="20" ht="43.5" customHeight="1">
      <c r="A20" s="29" t="n"/>
      <c r="B20" s="30" t="inlineStr">
        <is>
          <t>한국콜마</t>
        </is>
      </c>
      <c r="C20" s="31" t="inlineStr">
        <is>
          <t>161890</t>
        </is>
      </c>
      <c r="D20" s="32" t="n">
        <v>144500</v>
      </c>
      <c r="E20" s="33" t="n">
        <v>3.410934</v>
      </c>
      <c r="F20" s="34" t="n">
        <v>0.0006404191919753791</v>
      </c>
      <c r="G20" s="35" t="n">
        <v>0.03285672131463022</v>
      </c>
      <c r="H20" s="31" t="inlineStr">
        <is>
          <t>가능</t>
        </is>
      </c>
      <c r="I20" s="36" t="n">
        <v>0.1342</v>
      </c>
      <c r="J20" s="36" t="n">
        <v>0.08799999999999999</v>
      </c>
      <c r="K20" s="21" t="n">
        <v>14.69</v>
      </c>
      <c r="L20" s="21" t="n">
        <v>7.28</v>
      </c>
      <c r="M20" s="21" t="inlineStr">
        <is>
          <t>화장품 ODM/OEM</t>
        </is>
      </c>
      <c r="N20" s="21" t="inlineStr">
        <is>
          <t>국내 화장품 ODM 상위권 업체, 다수 브랜드사에 위탁생산 공급</t>
        </is>
      </c>
      <c r="O20" s="21" t="inlineStr">
        <is>
          <t>매출 CAGR 13.4%·ROE 14.7%로 양호한 성장·수익성, PER 7.28x로 밸류에이션 매력 있음. K-뷰티 수출 확대에 따른 ODM 물량 증가가 핵심 동력.</t>
        </is>
      </c>
      <c r="P20" s="21" t="inlineStr">
        <is>
          <t>와이즈리포트</t>
        </is>
      </c>
      <c r="Q20" s="21" t="inlineStr">
        <is>
          <t>보류</t>
        </is>
      </c>
    </row>
    <row r="21" ht="43.5" customHeight="1">
      <c r="A21" s="39" t="n"/>
      <c r="B21" s="30" t="inlineStr">
        <is>
          <t>롯데쇼핑</t>
        </is>
      </c>
      <c r="C21" s="31" t="inlineStr">
        <is>
          <t>023530</t>
        </is>
      </c>
      <c r="D21" s="32" t="n">
        <v>115300</v>
      </c>
      <c r="E21" s="33" t="n">
        <v>3.261693</v>
      </c>
      <c r="F21" s="34" t="n">
        <v>0.0006123984795753157</v>
      </c>
      <c r="G21" s="35" t="n">
        <v>0.02621716240537622</v>
      </c>
      <c r="H21" s="31" t="inlineStr">
        <is>
          <t>가능</t>
        </is>
      </c>
      <c r="I21" s="40" t="n">
        <v>-0.0389</v>
      </c>
      <c r="J21" s="40" t="n">
        <v>0.0398</v>
      </c>
      <c r="K21" s="41" t="n">
        <v>0.34</v>
      </c>
      <c r="L21" s="41" t="n">
        <v>300.4</v>
      </c>
      <c r="M21" s="41" t="inlineStr">
        <is>
          <t>백화점, 롯데마트, 롭스, 홈쇼핑, 이커머스</t>
        </is>
      </c>
      <c r="N21" s="41" t="inlineStr">
        <is>
          <t>백화점·마트·이커머스 등 복합 유통망 보유, 오프라인 매출 정체 방어가 과제</t>
        </is>
      </c>
      <c r="O21" s="41" t="inlineStr">
        <is>
          <t>매출 CAGR -3.89%·ROE 0.34%로 수익성 극도로 저조, PER 300.4x는 실적 대비 과대평가. 오프라인 유통 채널 매출 정체가 지속되어 탈락.</t>
        </is>
      </c>
      <c r="P21" s="21" t="inlineStr">
        <is>
          <t>와이즈리포트</t>
        </is>
      </c>
      <c r="Q21" s="41" t="inlineStr">
        <is>
          <t>탈락</t>
        </is>
      </c>
    </row>
    <row r="22" ht="43.5" customHeight="1">
      <c r="A22" s="29" t="n"/>
      <c r="B22" s="30" t="inlineStr">
        <is>
          <t>영원무역</t>
        </is>
      </c>
      <c r="C22" s="31" t="inlineStr">
        <is>
          <t>111770</t>
        </is>
      </c>
      <c r="D22" s="32" t="n">
        <v>71900</v>
      </c>
      <c r="E22" s="33" t="n">
        <v>3.185995</v>
      </c>
      <c r="F22" s="34" t="n">
        <v>0.0005981858175906064</v>
      </c>
      <c r="G22" s="35" t="n">
        <v>0.01634877690326583</v>
      </c>
      <c r="H22" s="31" t="inlineStr">
        <is>
          <t>가능</t>
        </is>
      </c>
      <c r="I22" s="36" t="n">
        <v>0.0128</v>
      </c>
      <c r="J22" s="36" t="n">
        <v>0.1266</v>
      </c>
      <c r="K22" s="21" t="n">
        <v>12.66</v>
      </c>
      <c r="L22" s="21" t="n">
        <v>8.68</v>
      </c>
      <c r="M22" s="21" t="inlineStr">
        <is>
          <t>노스페이스·룰루레몬 등 글로벌 브랜드 아웃도어 의류 OEM/ODM, 자전거(스캇 등)</t>
        </is>
      </c>
      <c r="N22" s="21" t="inlineStr">
        <is>
          <t>글로벌 의류 OEM 상위 업체, 베트남·방글라데시 등 해외 생산기지 보유</t>
        </is>
      </c>
      <c r="O22" s="21" t="inlineStr">
        <is>
          <t>매출 CAGR은 1.28%로 낮으나 영업이익률·ROE 모두 12.7% 내외로 안정적이며 PER 8.68x로 저평가. 글로벌 OEM 레퍼런스 기반 방어적 이익 흐름.</t>
        </is>
      </c>
      <c r="P22" s="21" t="inlineStr">
        <is>
          <t>와이즈리포트</t>
        </is>
      </c>
      <c r="Q22" s="21" t="inlineStr">
        <is>
          <t>보류</t>
        </is>
      </c>
    </row>
    <row r="23" ht="43.5" customHeight="1">
      <c r="A23" s="39" t="n"/>
      <c r="B23" s="30" t="inlineStr">
        <is>
          <t>코스맥스</t>
        </is>
      </c>
      <c r="C23" s="31" t="inlineStr">
        <is>
          <t>192820</t>
        </is>
      </c>
      <c r="D23" s="32" t="n">
        <v>273000</v>
      </c>
      <c r="E23" s="33" t="n">
        <v>3.098416</v>
      </c>
      <c r="F23" s="34" t="n">
        <v>0.0005817424409629696</v>
      </c>
      <c r="G23" s="35" t="n">
        <v>0.06207532815843632</v>
      </c>
      <c r="H23" s="31" t="inlineStr">
        <is>
          <t>가능</t>
        </is>
      </c>
      <c r="I23" s="40" t="n">
        <v>0.1445</v>
      </c>
      <c r="J23" s="40" t="n">
        <v>0.08160000000000001</v>
      </c>
      <c r="K23" s="41" t="n">
        <v>23.86</v>
      </c>
      <c r="L23" s="41" t="n">
        <v>4.53</v>
      </c>
      <c r="M23" s="41" t="inlineStr">
        <is>
          <t>화장품 ODM</t>
        </is>
      </c>
      <c r="N23" s="41" t="inlineStr">
        <is>
          <t>국내외 화장품 ODM 상위권, 중국·미국·동남아 해외법인 확대 중</t>
        </is>
      </c>
      <c r="O23" s="41" t="inlineStr">
        <is>
          <t>매출 CAGR 14.5%·ROE 23.9%로 성장성·자본효율 우수, PER 4.53x로 밸류에이션 매력 큼. 해외법인(미국·중국 등) 확대가 실적 개선 견인.</t>
        </is>
      </c>
      <c r="P23" s="21" t="inlineStr">
        <is>
          <t>와이즈리포트</t>
        </is>
      </c>
      <c r="Q23" s="41" t="inlineStr">
        <is>
          <t>Top3</t>
        </is>
      </c>
    </row>
    <row r="24">
      <c r="A24" s="29" t="n"/>
      <c r="B24" s="30" t="inlineStr">
        <is>
          <t>실리콘투</t>
        </is>
      </c>
      <c r="C24" s="31" t="inlineStr">
        <is>
          <t>257720</t>
        </is>
      </c>
      <c r="D24" s="32" t="n">
        <v>43650</v>
      </c>
      <c r="E24" s="33" t="n">
        <v>2.862403</v>
      </c>
      <c r="F24" s="34" t="n">
        <v>0.0005374298700496406</v>
      </c>
      <c r="G24" s="35" t="n">
        <v>0.009925231040717016</v>
      </c>
      <c r="H24" s="31" t="inlineStr">
        <is>
          <t>가능</t>
        </is>
      </c>
      <c r="I24" s="21" t="n"/>
      <c r="J24" s="21" t="n"/>
      <c r="K24" s="21" t="n"/>
      <c r="L24" s="21" t="n"/>
      <c r="M24" s="21" t="n"/>
      <c r="N24" s="21" t="n"/>
      <c r="O24" s="21" t="n"/>
      <c r="P24" s="21" t="n"/>
      <c r="Q24" s="21" t="n"/>
    </row>
    <row r="25">
      <c r="A25" s="39" t="n"/>
      <c r="B25" s="30" t="inlineStr">
        <is>
          <t>CJ제일제당</t>
        </is>
      </c>
      <c r="C25" s="31" t="inlineStr">
        <is>
          <t>097950</t>
        </is>
      </c>
      <c r="D25" s="32" t="n">
        <v>178200</v>
      </c>
      <c r="E25" s="33" t="n">
        <v>2.682656</v>
      </c>
      <c r="F25" s="34" t="n">
        <v>0.0005036815100696473</v>
      </c>
      <c r="G25" s="35" t="n">
        <v>0.04051949991880349</v>
      </c>
      <c r="H25" s="31" t="inlineStr">
        <is>
          <t>가능</t>
        </is>
      </c>
      <c r="I25" s="41" t="n"/>
      <c r="J25" s="41" t="n"/>
      <c r="K25" s="41" t="n"/>
      <c r="L25" s="41" t="n"/>
      <c r="M25" s="41" t="n"/>
      <c r="N25" s="41" t="n"/>
      <c r="O25" s="41" t="n"/>
      <c r="P25" s="41" t="n"/>
      <c r="Q25" s="41" t="n"/>
    </row>
    <row r="26">
      <c r="A26" s="29" t="n"/>
      <c r="B26" s="30" t="inlineStr">
        <is>
          <t>F&amp;F</t>
        </is>
      </c>
      <c r="C26" s="31" t="inlineStr">
        <is>
          <t>383220</t>
        </is>
      </c>
      <c r="D26" s="32" t="n">
        <v>67300</v>
      </c>
      <c r="E26" s="33" t="n">
        <v>2.578066</v>
      </c>
      <c r="F26" s="34" t="n">
        <v>0.0004840442367337502</v>
      </c>
      <c r="G26" s="35" t="n">
        <v>0.0153028189929039</v>
      </c>
      <c r="H26" s="31" t="inlineStr">
        <is>
          <t>가능</t>
        </is>
      </c>
      <c r="I26" s="21" t="n"/>
      <c r="J26" s="21" t="n"/>
      <c r="K26" s="21" t="n"/>
      <c r="L26" s="21" t="n"/>
      <c r="M26" s="21" t="n"/>
      <c r="N26" s="21" t="n"/>
      <c r="O26" s="21" t="n"/>
      <c r="P26" s="21" t="n"/>
      <c r="Q26" s="21" t="n"/>
    </row>
    <row r="27">
      <c r="A27" s="39" t="n"/>
      <c r="B27" s="30" t="inlineStr">
        <is>
          <t>롯데지주</t>
        </is>
      </c>
      <c r="C27" s="31" t="inlineStr">
        <is>
          <t>004990</t>
        </is>
      </c>
      <c r="D27" s="32" t="n">
        <v>24950</v>
      </c>
      <c r="E27" s="33" t="n">
        <v>2.486611</v>
      </c>
      <c r="F27" s="34" t="n">
        <v>0.0004668731225456397</v>
      </c>
      <c r="G27" s="35" t="n">
        <v>0.005673184752941342</v>
      </c>
      <c r="H27" s="31" t="inlineStr">
        <is>
          <t>가능</t>
        </is>
      </c>
      <c r="I27" s="41" t="n"/>
      <c r="J27" s="41" t="n"/>
      <c r="K27" s="41" t="n"/>
      <c r="L27" s="41" t="n"/>
      <c r="M27" s="41" t="n"/>
      <c r="N27" s="41" t="n"/>
      <c r="O27" s="41" t="n"/>
      <c r="P27" s="41" t="n"/>
      <c r="Q27" s="41" t="n"/>
    </row>
    <row r="28">
      <c r="A28" s="29" t="n"/>
      <c r="B28" s="30" t="inlineStr">
        <is>
          <t>농심</t>
        </is>
      </c>
      <c r="C28" s="31" t="inlineStr">
        <is>
          <t>004370</t>
        </is>
      </c>
      <c r="D28" s="32" t="n">
        <v>408500</v>
      </c>
      <c r="E28" s="33" t="n">
        <v>2.484759</v>
      </c>
      <c r="F28" s="34" t="n">
        <v>0.0004665254006772194</v>
      </c>
      <c r="G28" s="35" t="n">
        <v>0.09288561008322797</v>
      </c>
      <c r="H28" s="31" t="inlineStr">
        <is>
          <t>가능</t>
        </is>
      </c>
      <c r="I28" s="21" t="n"/>
      <c r="J28" s="21" t="n"/>
      <c r="K28" s="21" t="n"/>
      <c r="L28" s="21" t="n"/>
      <c r="M28" s="21" t="n"/>
      <c r="N28" s="21" t="n"/>
      <c r="O28" s="21" t="n"/>
      <c r="P28" s="21" t="n"/>
      <c r="Q28" s="21" t="n"/>
    </row>
    <row r="29">
      <c r="A29" s="39" t="n"/>
      <c r="B29" s="30" t="inlineStr">
        <is>
          <t>BGF리테일</t>
        </is>
      </c>
      <c r="C29" s="31" t="inlineStr">
        <is>
          <t>282330</t>
        </is>
      </c>
      <c r="D29" s="32" t="n">
        <v>141800</v>
      </c>
      <c r="E29" s="33" t="n">
        <v>2.450858</v>
      </c>
      <c r="F29" s="34" t="n">
        <v>0.000460160325590115</v>
      </c>
      <c r="G29" s="35" t="n">
        <v>0.03224278949767864</v>
      </c>
      <c r="H29" s="31" t="inlineStr">
        <is>
          <t>가능</t>
        </is>
      </c>
      <c r="I29" s="41" t="n"/>
      <c r="J29" s="41" t="n"/>
      <c r="K29" s="41" t="n"/>
      <c r="L29" s="41" t="n"/>
      <c r="M29" s="41" t="n"/>
      <c r="N29" s="41" t="n"/>
      <c r="O29" s="41" t="n"/>
      <c r="P29" s="41" t="n"/>
      <c r="Q29" s="41" t="n"/>
    </row>
    <row r="30">
      <c r="A30" s="29" t="n"/>
      <c r="B30" s="30" t="inlineStr">
        <is>
          <t>영원무역홀딩스</t>
        </is>
      </c>
      <c r="C30" s="31" t="inlineStr">
        <is>
          <t>009970</t>
        </is>
      </c>
      <c r="D30" s="32" t="n">
        <v>168500</v>
      </c>
      <c r="E30" s="33" t="n">
        <v>2.182718</v>
      </c>
      <c r="F30" s="34" t="n">
        <v>0.0004098157565845939</v>
      </c>
      <c r="G30" s="35" t="n">
        <v>0.03831389302086637</v>
      </c>
      <c r="H30" s="31" t="inlineStr">
        <is>
          <t>가능</t>
        </is>
      </c>
      <c r="I30" s="21" t="n"/>
      <c r="J30" s="21" t="n"/>
      <c r="K30" s="21" t="n"/>
      <c r="L30" s="21" t="n"/>
      <c r="M30" s="21" t="n"/>
      <c r="N30" s="21" t="n"/>
      <c r="O30" s="21" t="n"/>
      <c r="P30" s="21" t="n"/>
      <c r="Q30" s="21" t="n"/>
    </row>
    <row r="31">
      <c r="A31" s="39" t="n"/>
      <c r="B31" s="30" t="inlineStr">
        <is>
          <t>현대백화점</t>
        </is>
      </c>
      <c r="C31" s="31" t="inlineStr">
        <is>
          <t>069960</t>
        </is>
      </c>
      <c r="D31" s="32" t="n">
        <v>98200</v>
      </c>
      <c r="E31" s="33" t="n">
        <v>2.117674</v>
      </c>
      <c r="F31" s="34" t="n">
        <v>0.0003976034341172444</v>
      </c>
      <c r="G31" s="35" t="n">
        <v>0.02232892756468296</v>
      </c>
      <c r="H31" s="31" t="inlineStr">
        <is>
          <t>가능</t>
        </is>
      </c>
      <c r="I31" s="41" t="n"/>
      <c r="J31" s="41" t="n"/>
      <c r="K31" s="41" t="n"/>
      <c r="L31" s="41" t="n"/>
      <c r="M31" s="41" t="n"/>
      <c r="N31" s="41" t="n"/>
      <c r="O31" s="41" t="n"/>
      <c r="P31" s="41" t="n"/>
      <c r="Q31" s="41" t="n"/>
    </row>
    <row r="32">
      <c r="A32" s="29" t="n"/>
      <c r="B32" s="30" t="inlineStr">
        <is>
          <t>미스토홀딩스</t>
        </is>
      </c>
      <c r="C32" s="31" t="inlineStr">
        <is>
          <t>081660</t>
        </is>
      </c>
      <c r="D32" s="32" t="n">
        <v>39100</v>
      </c>
      <c r="E32" s="33" t="n">
        <v>2.075891</v>
      </c>
      <c r="F32" s="34" t="n">
        <v>0.0003897584757866793</v>
      </c>
      <c r="G32" s="35" t="n">
        <v>0.00889064223807641</v>
      </c>
      <c r="H32" s="31" t="inlineStr">
        <is>
          <t>가능</t>
        </is>
      </c>
      <c r="I32" s="21" t="n"/>
      <c r="J32" s="21" t="n"/>
      <c r="K32" s="21" t="n"/>
      <c r="L32" s="21" t="n"/>
      <c r="M32" s="21" t="n"/>
      <c r="N32" s="21" t="n"/>
      <c r="O32" s="21" t="n"/>
      <c r="P32" s="21" t="n"/>
      <c r="Q32" s="21" t="n"/>
    </row>
    <row r="33">
      <c r="A33" s="39" t="n"/>
      <c r="B33" s="30" t="inlineStr">
        <is>
          <t>이마트</t>
        </is>
      </c>
      <c r="C33" s="31" t="inlineStr">
        <is>
          <t>139480</t>
        </is>
      </c>
      <c r="D33" s="32" t="n">
        <v>74200</v>
      </c>
      <c r="E33" s="33" t="n">
        <v>2.04761</v>
      </c>
      <c r="F33" s="34" t="n">
        <v>0.0003844485826113041</v>
      </c>
      <c r="G33" s="35" t="n">
        <v>0.01687175585844679</v>
      </c>
      <c r="H33" s="31" t="inlineStr">
        <is>
          <t>가능</t>
        </is>
      </c>
      <c r="I33" s="41" t="n"/>
      <c r="J33" s="41" t="n"/>
      <c r="K33" s="41" t="n"/>
      <c r="L33" s="41" t="n"/>
      <c r="M33" s="41" t="n"/>
      <c r="N33" s="41" t="n"/>
      <c r="O33" s="41" t="n"/>
      <c r="P33" s="41" t="n"/>
      <c r="Q33" s="41" t="n"/>
    </row>
    <row r="34">
      <c r="A34" s="29" t="n"/>
      <c r="B34" s="30" t="inlineStr">
        <is>
          <t>GS리테일</t>
        </is>
      </c>
      <c r="C34" s="31" t="inlineStr">
        <is>
          <t>007070</t>
        </is>
      </c>
      <c r="D34" s="32" t="n">
        <v>24450</v>
      </c>
      <c r="E34" s="33" t="n">
        <v>2.044201</v>
      </c>
      <c r="F34" s="34" t="n">
        <v>0.0003838085265370897</v>
      </c>
      <c r="G34" s="35" t="n">
        <v>0.005559493675728088</v>
      </c>
      <c r="H34" s="31" t="inlineStr">
        <is>
          <t>가능</t>
        </is>
      </c>
      <c r="I34" s="21" t="n"/>
      <c r="J34" s="21" t="n"/>
      <c r="K34" s="21" t="n"/>
      <c r="L34" s="21" t="n"/>
      <c r="M34" s="21" t="n"/>
      <c r="N34" s="21" t="n"/>
      <c r="O34" s="21" t="n"/>
      <c r="P34" s="21" t="n"/>
      <c r="Q34" s="21" t="n"/>
    </row>
    <row r="35">
      <c r="A35" s="39" t="n"/>
      <c r="B35" s="30" t="inlineStr">
        <is>
          <t>달바글로벌</t>
        </is>
      </c>
      <c r="C35" s="31" t="inlineStr">
        <is>
          <t>483650</t>
        </is>
      </c>
      <c r="D35" s="32" t="n">
        <v>163100</v>
      </c>
      <c r="E35" s="33" t="n">
        <v>2.042977</v>
      </c>
      <c r="F35" s="34" t="n">
        <v>0.0003835787146758876</v>
      </c>
      <c r="G35" s="35" t="n">
        <v>0.03708602938696324</v>
      </c>
      <c r="H35" s="31" t="inlineStr">
        <is>
          <t>가능</t>
        </is>
      </c>
      <c r="I35" s="41" t="n"/>
      <c r="J35" s="41" t="n"/>
      <c r="K35" s="41" t="n"/>
      <c r="L35" s="41" t="n"/>
      <c r="M35" s="41" t="n"/>
      <c r="N35" s="41" t="n"/>
      <c r="O35" s="41" t="n"/>
      <c r="P35" s="41" t="n"/>
      <c r="Q35" s="41" t="n"/>
    </row>
    <row r="36">
      <c r="A36" s="29" t="n"/>
      <c r="B36" s="30" t="inlineStr">
        <is>
          <t>아모레퍼시픽홀딩스</t>
        </is>
      </c>
      <c r="C36" s="31" t="inlineStr">
        <is>
          <t>002790</t>
        </is>
      </c>
      <c r="D36" s="32" t="n">
        <v>26300</v>
      </c>
      <c r="E36" s="33" t="n">
        <v>2.01085</v>
      </c>
      <c r="F36" s="34" t="n">
        <v>0.0003775467165836954</v>
      </c>
      <c r="G36" s="35" t="n">
        <v>0.005980150661417125</v>
      </c>
      <c r="H36" s="31" t="inlineStr">
        <is>
          <t>가능</t>
        </is>
      </c>
      <c r="I36" s="21" t="n"/>
      <c r="J36" s="21" t="n"/>
      <c r="K36" s="21" t="n"/>
      <c r="L36" s="21" t="n"/>
      <c r="M36" s="21" t="n"/>
      <c r="N36" s="21" t="n"/>
      <c r="O36" s="21" t="n"/>
      <c r="P36" s="21" t="n"/>
      <c r="Q36" s="21" t="n"/>
    </row>
    <row r="37">
      <c r="A37" s="39" t="n"/>
      <c r="B37" s="30" t="inlineStr">
        <is>
          <t>호텔신라</t>
        </is>
      </c>
      <c r="C37" s="31" t="inlineStr">
        <is>
          <t>008770</t>
        </is>
      </c>
      <c r="D37" s="32" t="n">
        <v>40800</v>
      </c>
      <c r="E37" s="33" t="n">
        <v>1.601323</v>
      </c>
      <c r="F37" s="34" t="n">
        <v>0.0003006560612874918</v>
      </c>
      <c r="G37" s="35" t="n">
        <v>0.009277191900601472</v>
      </c>
      <c r="H37" s="31" t="inlineStr">
        <is>
          <t>가능</t>
        </is>
      </c>
      <c r="I37" s="41" t="n"/>
      <c r="J37" s="41" t="n"/>
      <c r="K37" s="41" t="n"/>
      <c r="L37" s="41" t="n"/>
      <c r="M37" s="41" t="n"/>
      <c r="N37" s="41" t="n"/>
      <c r="O37" s="41" t="n"/>
      <c r="P37" s="41" t="n"/>
      <c r="Q37" s="41" t="n"/>
    </row>
    <row r="38">
      <c r="A38" s="29" t="n"/>
      <c r="B38" s="30" t="inlineStr">
        <is>
          <t>오리온홀딩스</t>
        </is>
      </c>
      <c r="C38" s="31" t="inlineStr">
        <is>
          <t>001800</t>
        </is>
      </c>
      <c r="D38" s="32" t="n">
        <v>24450</v>
      </c>
      <c r="E38" s="33" t="n">
        <v>1.47083</v>
      </c>
      <c r="F38" s="34" t="n">
        <v>0.0002761553756634243</v>
      </c>
      <c r="G38" s="35" t="n">
        <v>0.005559493675728088</v>
      </c>
      <c r="H38" s="31" t="inlineStr">
        <is>
          <t>가능</t>
        </is>
      </c>
      <c r="I38" s="21" t="n"/>
      <c r="J38" s="21" t="n"/>
      <c r="K38" s="21" t="n"/>
      <c r="L38" s="21" t="n"/>
      <c r="M38" s="21" t="n"/>
      <c r="N38" s="21" t="n"/>
      <c r="O38" s="21" t="n"/>
      <c r="P38" s="21" t="n"/>
      <c r="Q38" s="21" t="n"/>
    </row>
    <row r="39">
      <c r="A39" s="39" t="n"/>
      <c r="B39" s="30" t="inlineStr">
        <is>
          <t>하림지주</t>
        </is>
      </c>
      <c r="C39" s="31" t="inlineStr">
        <is>
          <t>003380</t>
        </is>
      </c>
      <c r="D39" s="32" t="n">
        <v>11240</v>
      </c>
      <c r="E39" s="33" t="n">
        <v>1.258943</v>
      </c>
      <c r="F39" s="34" t="n">
        <v>0.0002363725767789877</v>
      </c>
      <c r="G39" s="35" t="n">
        <v>0.002555775415753935</v>
      </c>
      <c r="H39" s="31" t="inlineStr">
        <is>
          <t>가능</t>
        </is>
      </c>
      <c r="I39" s="41" t="n"/>
      <c r="J39" s="41" t="n"/>
      <c r="K39" s="41" t="n"/>
      <c r="L39" s="41" t="n"/>
      <c r="M39" s="41" t="n"/>
      <c r="N39" s="41" t="n"/>
      <c r="O39" s="41" t="n"/>
      <c r="P39" s="41" t="n"/>
      <c r="Q39" s="41" t="n"/>
    </row>
    <row r="40">
      <c r="A40" s="29" t="n"/>
      <c r="B40" s="30" t="inlineStr">
        <is>
          <t>하이트진로</t>
        </is>
      </c>
      <c r="C40" s="31" t="inlineStr">
        <is>
          <t>000080</t>
        </is>
      </c>
      <c r="D40" s="32" t="n">
        <v>15120</v>
      </c>
      <c r="E40" s="33" t="n">
        <v>1.06042</v>
      </c>
      <c r="F40" s="34" t="n">
        <v>0.0001990989328889188</v>
      </c>
      <c r="G40" s="35" t="n">
        <v>0.003438018174928781</v>
      </c>
      <c r="H40" s="31" t="inlineStr">
        <is>
          <t>가능</t>
        </is>
      </c>
      <c r="I40" s="21" t="n"/>
      <c r="J40" s="21" t="n"/>
      <c r="K40" s="21" t="n"/>
      <c r="L40" s="21" t="n"/>
      <c r="M40" s="21" t="n"/>
      <c r="N40" s="21" t="n"/>
      <c r="O40" s="21" t="n"/>
      <c r="P40" s="21" t="n"/>
      <c r="Q40" s="21" t="n"/>
    </row>
    <row r="41">
      <c r="A41" s="42" t="n"/>
      <c r="B41" s="43" t="inlineStr">
        <is>
          <t>롯데칠성</t>
        </is>
      </c>
      <c r="C41" s="44" t="inlineStr">
        <is>
          <t>005300</t>
        </is>
      </c>
      <c r="D41" s="45" t="n">
        <v>96300</v>
      </c>
      <c r="E41" s="46" t="n">
        <v>0.893557</v>
      </c>
      <c r="F41" s="47" t="n">
        <v>0.0001677696056047826</v>
      </c>
      <c r="G41" s="48" t="n">
        <v>0.02189690147127259</v>
      </c>
      <c r="H41" s="44" t="inlineStr">
        <is>
          <t>가능</t>
        </is>
      </c>
      <c r="I41" s="49" t="n"/>
      <c r="J41" s="49" t="n"/>
      <c r="K41" s="49" t="n"/>
      <c r="L41" s="49" t="n"/>
      <c r="M41" s="49" t="n"/>
      <c r="N41" s="49" t="n"/>
      <c r="O41" s="49" t="n"/>
      <c r="P41" s="49" t="n"/>
      <c r="Q41" s="49" t="n"/>
    </row>
    <row r="42"/>
    <row r="43" ht="22" customHeight="1">
      <c r="A43" s="50" t="inlineStr">
        <is>
          <t>선정 결과</t>
        </is>
      </c>
      <c r="B43" s="50" t="n"/>
      <c r="C43" s="50" t="n"/>
      <c r="D43" s="50" t="n"/>
      <c r="E43" s="50" t="n"/>
      <c r="F43" s="50" t="n"/>
      <c r="G43" s="50" t="n"/>
      <c r="H43" s="50" t="n"/>
      <c r="I43" s="50" t="n"/>
      <c r="J43" s="50" t="n"/>
      <c r="K43" s="50" t="n"/>
      <c r="L43" s="50" t="n"/>
      <c r="M43" s="50" t="n"/>
      <c r="N43" s="50" t="n"/>
      <c r="O43" s="50" t="n"/>
      <c r="P43" s="50" t="n"/>
      <c r="Q43" s="50" t="n"/>
    </row>
    <row r="44" ht="19" customHeight="1">
      <c r="A44" s="20" t="inlineStr">
        <is>
          <t>Top 1</t>
        </is>
      </c>
      <c r="B44" s="24" t="n"/>
      <c r="C44" s="51" t="inlineStr">
        <is>
          <t>에이피알</t>
        </is>
      </c>
      <c r="D44" s="52" t="n"/>
      <c r="E44" s="52" t="n"/>
      <c r="F44" s="52" t="n"/>
      <c r="G44" s="52" t="n"/>
      <c r="H44" s="52" t="n"/>
      <c r="I44" s="52" t="n"/>
      <c r="J44" s="52" t="n"/>
      <c r="K44" s="52" t="n"/>
      <c r="L44" s="52" t="n"/>
      <c r="M44" s="52" t="n"/>
      <c r="N44" s="52" t="n"/>
      <c r="O44" s="52" t="n"/>
      <c r="P44" s="52" t="n"/>
      <c r="Q44" s="25" t="n"/>
    </row>
    <row r="45" ht="19" customHeight="1">
      <c r="A45" s="20" t="inlineStr">
        <is>
          <t>Top 2</t>
        </is>
      </c>
      <c r="B45" s="24" t="n"/>
      <c r="C45" s="21" t="inlineStr">
        <is>
          <t>삼양식품</t>
        </is>
      </c>
      <c r="D45" s="52" t="n"/>
      <c r="E45" s="52" t="n"/>
      <c r="F45" s="52" t="n"/>
      <c r="G45" s="52" t="n"/>
      <c r="H45" s="52" t="n"/>
      <c r="I45" s="52" t="n"/>
      <c r="J45" s="52" t="n"/>
      <c r="K45" s="52" t="n"/>
      <c r="L45" s="52" t="n"/>
      <c r="M45" s="52" t="n"/>
      <c r="N45" s="52" t="n"/>
      <c r="O45" s="52" t="n"/>
      <c r="P45" s="52" t="n"/>
      <c r="Q45" s="25" t="n"/>
    </row>
    <row r="46" ht="19" customHeight="1">
      <c r="A46" s="20" t="inlineStr">
        <is>
          <t>Top 3</t>
        </is>
      </c>
      <c r="B46" s="24" t="n"/>
      <c r="C46" s="21" t="inlineStr">
        <is>
          <t>코스맥스</t>
        </is>
      </c>
      <c r="D46" s="52" t="n"/>
      <c r="E46" s="52" t="n"/>
      <c r="F46" s="52" t="n"/>
      <c r="G46" s="52" t="n"/>
      <c r="H46" s="52" t="n"/>
      <c r="I46" s="52" t="n"/>
      <c r="J46" s="52" t="n"/>
      <c r="K46" s="52" t="n"/>
      <c r="L46" s="52" t="n"/>
      <c r="M46" s="52" t="n"/>
      <c r="N46" s="52" t="n"/>
      <c r="O46" s="52" t="n"/>
      <c r="P46" s="52" t="n"/>
      <c r="Q46" s="25" t="n"/>
    </row>
    <row r="47" ht="19" customHeight="1">
      <c r="A47" s="20" t="inlineStr">
        <is>
          <t>탈락 1</t>
        </is>
      </c>
      <c r="B47" s="24" t="n"/>
      <c r="C47" s="21" t="inlineStr">
        <is>
          <t>LG: ROE 2.64%, PER 40.08x , 매출 CAGR 0.31%로 성장 정체인데 밸류에이션만 높음</t>
        </is>
      </c>
      <c r="D47" s="52" t="n"/>
      <c r="E47" s="52" t="n"/>
      <c r="F47" s="52" t="n"/>
      <c r="G47" s="52" t="n"/>
      <c r="H47" s="52" t="n"/>
      <c r="I47" s="52" t="n"/>
      <c r="J47" s="52" t="n"/>
      <c r="K47" s="52" t="n"/>
      <c r="L47" s="52" t="n"/>
      <c r="M47" s="52" t="n"/>
      <c r="N47" s="52" t="n"/>
      <c r="O47" s="52" t="n"/>
      <c r="P47" s="52" t="n"/>
      <c r="Q47" s="25" t="n"/>
    </row>
    <row r="48" ht="19" customHeight="1">
      <c r="A48" s="20" t="inlineStr">
        <is>
          <t>탈락 2</t>
        </is>
      </c>
      <c r="B48" s="24" t="n"/>
      <c r="C48" s="21" t="inlineStr">
        <is>
          <t>LG생활건강: 매출 CAGR -4.01%, ROE -1.82% (순손실로 PER 산출 자체가 무의미)</t>
        </is>
      </c>
      <c r="D48" s="52" t="n"/>
      <c r="E48" s="52" t="n"/>
      <c r="F48" s="52" t="n"/>
      <c r="G48" s="52" t="n"/>
      <c r="H48" s="52" t="n"/>
      <c r="I48" s="52" t="n"/>
      <c r="J48" s="52" t="n"/>
      <c r="K48" s="52" t="n"/>
      <c r="L48" s="52" t="n"/>
      <c r="M48" s="52" t="n"/>
      <c r="N48" s="52" t="n"/>
      <c r="O48" s="52" t="n"/>
      <c r="P48" s="52" t="n"/>
      <c r="Q48" s="25" t="n"/>
    </row>
    <row r="49" ht="19" customHeight="1">
      <c r="A49" s="20" t="inlineStr">
        <is>
          <t>탈락 3</t>
        </is>
      </c>
      <c r="B49" s="24" t="n"/>
      <c r="C49" s="21" t="inlineStr">
        <is>
          <t>CJ: ROE 2.69%, PER 38.57x , 저수익성 대비 과대평가</t>
        </is>
      </c>
      <c r="D49" s="52" t="n"/>
      <c r="E49" s="52" t="n"/>
      <c r="F49" s="52" t="n"/>
      <c r="G49" s="52" t="n"/>
      <c r="H49" s="52" t="n"/>
      <c r="I49" s="52" t="n"/>
      <c r="J49" s="52" t="n"/>
      <c r="K49" s="52" t="n"/>
      <c r="L49" s="52" t="n"/>
      <c r="M49" s="52" t="n"/>
      <c r="N49" s="52" t="n"/>
      <c r="O49" s="52" t="n"/>
      <c r="P49" s="52" t="n"/>
      <c r="Q49" s="25" t="n"/>
    </row>
    <row r="50" ht="19" customHeight="1">
      <c r="A50" s="20" t="inlineStr">
        <is>
          <t>탈락 4</t>
        </is>
      </c>
      <c r="B50" s="24" t="n"/>
      <c r="C50" s="21" t="inlineStr">
        <is>
          <t>신세계: ROE 0.32%, PER 354.58x , 이익창출력 소멸 수준</t>
        </is>
      </c>
      <c r="D50" s="52" t="n"/>
      <c r="E50" s="52" t="n"/>
      <c r="F50" s="52" t="n"/>
      <c r="G50" s="52" t="n"/>
      <c r="H50" s="52" t="n"/>
      <c r="I50" s="52" t="n"/>
      <c r="J50" s="52" t="n"/>
      <c r="K50" s="52" t="n"/>
      <c r="L50" s="52" t="n"/>
      <c r="M50" s="52" t="n"/>
      <c r="N50" s="52" t="n"/>
      <c r="O50" s="52" t="n"/>
      <c r="P50" s="52" t="n"/>
      <c r="Q50" s="25" t="n"/>
    </row>
    <row r="51" ht="19" customHeight="1">
      <c r="A51" s="53" t="inlineStr">
        <is>
          <t>탈락 5</t>
        </is>
      </c>
      <c r="B51" s="54" t="n"/>
      <c r="C51" s="55" t="inlineStr">
        <is>
          <t>롯데쇼핑: ROE 0.34%, PER 300.4x , 신세계와 유사하게 극단적 고평가</t>
        </is>
      </c>
      <c r="D51" s="56" t="n"/>
      <c r="E51" s="56" t="n"/>
      <c r="F51" s="56" t="n"/>
      <c r="G51" s="56" t="n"/>
      <c r="H51" s="56" t="n"/>
      <c r="I51" s="56" t="n"/>
      <c r="J51" s="56" t="n"/>
      <c r="K51" s="56" t="n"/>
      <c r="L51" s="56" t="n"/>
      <c r="M51" s="56" t="n"/>
      <c r="N51" s="56" t="n"/>
      <c r="O51" s="56" t="n"/>
      <c r="P51" s="56" t="n"/>
      <c r="Q51" s="57" t="n"/>
    </row>
  </sheetData>
  <mergeCells count="15">
    <mergeCell ref="E4:F4"/>
    <mergeCell ref="C51:Q51"/>
    <mergeCell ref="C46:Q46"/>
    <mergeCell ref="C47:Q47"/>
    <mergeCell ref="B5:C5"/>
    <mergeCell ref="C50:Q50"/>
    <mergeCell ref="C44:Q44"/>
    <mergeCell ref="E5:F5"/>
    <mergeCell ref="K5:L5"/>
    <mergeCell ref="H5:I5"/>
    <mergeCell ref="C45:Q45"/>
    <mergeCell ref="H4:I4"/>
    <mergeCell ref="C49:Q49"/>
    <mergeCell ref="C48:Q48"/>
    <mergeCell ref="B4:C4"/>
  </mergeCells>
  <dataValidations count="1">
    <dataValidation sqref="Q10:Q41" showDropDown="0" showInputMessage="0" showErrorMessage="0" allowBlank="1" type="list">
      <formula1>"Top1,Top2,Top3,보류,탈락"</formula1>
    </dataValidation>
  </dataValidation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2026-09-22T08:19:10Z</dcterms:created>
  <dcterms:modified xmlns:dcterms="http://purl.org/dc/terms/" xmlns:xsi="http://www.w3.org/2001/XMLSchema-instance" xsi:type="dcterms:W3CDTF">2026-09-22T08:19:13Z</dcterms:modified>
</cp:coreProperties>
</file>